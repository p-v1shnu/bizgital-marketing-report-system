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slicerCaches/slicerCache5.xml" ContentType="application/vnd.ms-excel.slicerCache+xml"/>
  <Override PartName="/xl/slicerCaches/slicerCache6.xml" ContentType="application/vnd.ms-excel.slicerCache+xml"/>
  <Override PartName="/xl/slicerCaches/slicerCache7.xml" ContentType="application/vnd.ms-excel.slicerCache+xml"/>
  <Override PartName="/xl/slicerCaches/slicerCache8.xml" ContentType="application/vnd.ms-excel.slicerCache+xml"/>
  <Override PartName="/xl/slicerCaches/slicerCache9.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comments1.xml" ContentType="application/vnd.openxmlformats-officedocument.spreadsheetml.comments+xml"/>
  <Override PartName="/xl/drawings/drawing1.xml" ContentType="application/vnd.openxmlformats-officedocument.drawing+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pivotTables/pivotTable9.xml" ContentType="application/vnd.openxmlformats-officedocument.spreadsheetml.pivotTable+xml"/>
  <Override PartName="/xl/pivotTables/pivotTable10.xml" ContentType="application/vnd.openxmlformats-officedocument.spreadsheetml.pivotTable+xml"/>
  <Override PartName="/xl/pivotTables/pivotTable11.xml" ContentType="application/vnd.openxmlformats-officedocument.spreadsheetml.pivotTable+xml"/>
  <Override PartName="/xl/drawings/drawing2.xml" ContentType="application/vnd.openxmlformats-officedocument.drawing+xml"/>
  <Override PartName="/xl/drawings/drawing3.xml" ContentType="application/vnd.openxmlformats-officedocument.drawing+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822"/>
  <workbookPr codeName="ThisWorkbook" defaultThemeVersion="166925"/>
  <mc:AlternateContent xmlns:mc="http://schemas.openxmlformats.org/markup-compatibility/2006">
    <mc:Choice Requires="x15">
      <x15ac:absPath xmlns:x15ac="http://schemas.microsoft.com/office/spreadsheetml/2010/11/ac" url="https://bizgital-my.sharepoint.com/personal/pele_bizgital_com/Documents/Documents/Cowork/Technical/Internal/Report System v2/"/>
    </mc:Choice>
  </mc:AlternateContent>
  <xr:revisionPtr revIDLastSave="146" documentId="8_{19A2A944-9345-4924-8112-6D7BF86508DA}" xr6:coauthVersionLast="47" xr6:coauthVersionMax="47" xr10:uidLastSave="{35C2C951-ED71-4782-9C64-5CE57B52F707}"/>
  <bookViews>
    <workbookView minimized="1" xWindow="31116" yWindow="396" windowWidth="28776" windowHeight="17076" firstSheet="2" activeTab="7" xr2:uid="{F9F32CDD-8A4E-462A-B593-7812F193674C}"/>
  </bookViews>
  <sheets>
    <sheet name="Drop down " sheetId="10" r:id="rId1"/>
    <sheet name="tb_Overview_Data" sheetId="1" r:id="rId2"/>
    <sheet name="TOP 3 Engagement " sheetId="11" r:id="rId3"/>
    <sheet name="tb_Users_Input_Data" sheetId="7" r:id="rId4"/>
    <sheet name="tb_Competitors_Data" sheetId="9" r:id="rId5"/>
    <sheet name="Detail1" sheetId="12" state="hidden" r:id="rId6"/>
    <sheet name="Pivot" sheetId="5" r:id="rId7"/>
    <sheet name="Dashboard " sheetId="2" r:id="rId8"/>
  </sheets>
  <definedNames>
    <definedName name="_xlnm._FilterDatabase" localSheetId="1" hidden="1">tb_Overview_Data!$A$1:$AG$15</definedName>
    <definedName name="Slicer_Months__Month1">#N/A</definedName>
    <definedName name="Slicer_Months__Month10">#N/A</definedName>
    <definedName name="Slicer_Months__Month2">#N/A</definedName>
    <definedName name="Slicer_Months__Month3">#N/A</definedName>
    <definedName name="Slicer_Months__Month4">#N/A</definedName>
    <definedName name="Slicer_Months__Month5">#N/A</definedName>
    <definedName name="Slicer_Months__Month6">#N/A</definedName>
    <definedName name="Slicer_Months__Month7">#N/A</definedName>
    <definedName name="Slicer_Months__Month8">#N/A</definedName>
  </definedNames>
  <calcPr calcId="191028"/>
  <pivotCaches>
    <pivotCache cacheId="0" r:id="rId9"/>
    <pivotCache cacheId="1" r:id="rId10"/>
    <pivotCache cacheId="2" r:id="rId11"/>
  </pivotCaches>
  <fileRecoveryPr repairLoad="1"/>
  <extLst>
    <ext xmlns:x14="http://schemas.microsoft.com/office/spreadsheetml/2009/9/main" uri="{BBE1A952-AA13-448e-AADC-164F8A28A991}">
      <x14:slicerCaches>
        <x14:slicerCache r:id="rId12"/>
        <x14:slicerCache r:id="rId13"/>
        <x14:slicerCache r:id="rId14"/>
        <x14:slicerCache r:id="rId15"/>
        <x14:slicerCache r:id="rId16"/>
        <x14:slicerCache r:id="rId17"/>
        <x14:slicerCache r:id="rId18"/>
        <x14:slicerCache r:id="rId19"/>
        <x14:slicerCache r:id="rId20"/>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N17" i="11" l="1"/>
  <c r="N11" i="11"/>
  <c r="N6" i="11"/>
  <c r="H17" i="11"/>
  <c r="H11" i="11"/>
  <c r="H6" i="11"/>
  <c r="B17" i="11"/>
  <c r="B11" i="11"/>
  <c r="B6" i="11"/>
  <c r="F60" i="2"/>
  <c r="E62" i="2"/>
  <c r="F61" i="2"/>
  <c r="E60" i="2"/>
  <c r="F63" i="2"/>
  <c r="E70" i="2"/>
  <c r="V54" i="2"/>
  <c r="T53" i="2"/>
  <c r="M50" i="2"/>
  <c r="E61" i="2"/>
  <c r="S26" i="2"/>
  <c r="C26" i="2"/>
  <c r="Y26" i="2"/>
  <c r="AF26" i="2"/>
  <c r="V52" i="2"/>
  <c r="T54" i="2"/>
  <c r="G51" i="2"/>
  <c r="V53" i="2"/>
  <c r="E69" i="2"/>
  <c r="F62" i="2"/>
  <c r="E63" i="2"/>
  <c r="V51" i="2"/>
  <c r="G50" i="2"/>
  <c r="E67" i="2"/>
  <c r="F26" i="2"/>
  <c r="E68" i="2"/>
  <c r="T51" i="2"/>
  <c r="T52" i="2"/>
  <c r="F68" i="2" l="1"/>
  <c r="F69" i="2"/>
  <c r="F70" i="2"/>
  <c r="F67" i="2"/>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Advice</author>
  </authors>
  <commentList>
    <comment ref="B1" authorId="0" shapeId="0" xr:uid="{EEA17881-B122-40A2-BDC0-0C4843BD8C33}">
      <text>
        <r>
          <rPr>
            <sz val="9"/>
            <color indexed="81"/>
            <rFont val="Tahoma"/>
            <family val="2"/>
          </rPr>
          <t>Private Sub Worksheet_SelectionChange(ByVal Target As Range)
    Dim rngDate As Range, rngSel As Range
    Set rngDate = Range("D2:E18")    '**** Modify range **** 
    Set rngSel = Selection
    If Intersect(rngDate, rngSel) Is Nothing Then
        Shapes("calendar").Visible = False
    Else
        Shapes("calendar").Visible = True
        Shapes("calendar").Top = ActiveCell.Top + ActiveCell.Height
        Shapes("calendar").Left = ActiveCell.Left + ActiveCell.Width
    End If
End Sub</t>
        </r>
      </text>
    </comment>
    <comment ref="M1" authorId="0" shapeId="0" xr:uid="{6C3F3DFB-670B-4E72-A612-6A0341173922}">
      <text>
        <r>
          <rPr>
            <b/>
            <sz val="9"/>
            <color indexed="81"/>
            <rFont val="Tahoma"/>
            <family val="2"/>
          </rPr>
          <t>Advice:
ຈຳນວນ Kpi ທັງໝົດ / ຈຳນວນຄອນເທັ້ນ (ຍົກເວັ້ນ ປະກາດຜູ້ໂຊກດີ)</t>
        </r>
        <r>
          <rPr>
            <sz val="9"/>
            <color indexed="81"/>
            <rFont val="Tahoma"/>
            <family val="2"/>
          </rPr>
          <t xml:space="preserve">
</t>
        </r>
      </text>
    </comment>
    <comment ref="N1" authorId="0" shapeId="0" xr:uid="{89E3BB7C-9E7D-4B8C-9B9C-19F746FC4565}">
      <text>
        <r>
          <rPr>
            <sz val="9"/>
            <color indexed="81"/>
            <rFont val="Tahoma"/>
            <family val="2"/>
          </rPr>
          <t>Facebook Reach ໃສ່ໂຕເລກໂພສສຸດທ້າຍຂອງເດືອນ</t>
        </r>
      </text>
    </comment>
    <comment ref="P1" authorId="0" shapeId="0" xr:uid="{C7F29EA6-5E02-493A-B3DF-54ABEEA13836}">
      <text>
        <r>
          <rPr>
            <b/>
            <sz val="9"/>
            <color indexed="81"/>
            <rFont val="Tahoma"/>
            <family val="2"/>
          </rPr>
          <t>Advice:
ຈຳນວນ Kpi ທັງໝົດ / ຈຳນວນຄອນເທັ້ນ (ຍົກເວັ້ນ ປະກາດຜູ້ໂຊກດີ)</t>
        </r>
        <r>
          <rPr>
            <sz val="9"/>
            <color indexed="81"/>
            <rFont val="Tahoma"/>
            <family val="2"/>
          </rPr>
          <t xml:space="preserve">
</t>
        </r>
      </text>
    </comment>
    <comment ref="R1" authorId="0" shapeId="0" xr:uid="{3E58ECDE-9C18-42AD-9D77-E84C8031C671}">
      <text>
        <r>
          <rPr>
            <b/>
            <sz val="9"/>
            <color indexed="81"/>
            <rFont val="Tahoma"/>
            <family val="2"/>
          </rPr>
          <t>Advice:
ຈຳນວນ Kpi ທັງໝົດ / ຈຳນວນຄອນເທັ້ນ (ຍົກເວັ້ນ ປະກາດຜູ້ໂຊກດີ)</t>
        </r>
      </text>
    </comment>
    <comment ref="U1" authorId="0" shapeId="0" xr:uid="{46C45180-ECFB-491F-A4DC-74AA4A71CBC8}">
      <text>
        <r>
          <rPr>
            <b/>
            <sz val="9"/>
            <color indexed="81"/>
            <rFont val="Tahoma"/>
            <family val="2"/>
          </rPr>
          <t>Advice:
ຈຳນວນ Kpi ທັງໝົດ / ຈຳນວນຄອນເທັ້ນ (ຍົກເວັ້ນ ປະກາດຜູ້ໂຊກດີ)</t>
        </r>
        <r>
          <rPr>
            <sz val="9"/>
            <color indexed="81"/>
            <rFont val="Tahoma"/>
            <family val="2"/>
          </rPr>
          <t xml:space="preserve">
</t>
        </r>
      </text>
    </comment>
    <comment ref="W1" authorId="0" shapeId="0" xr:uid="{C94EB0F5-8C62-4DE9-BC1F-84DC5FA597D5}">
      <text>
        <r>
          <rPr>
            <b/>
            <sz val="9"/>
            <color indexed="81"/>
            <rFont val="Tahoma"/>
            <family val="2"/>
          </rPr>
          <t>Advice:
ຈຳນວນ Kpi ທັງໝົດ / ຈຳນວນຄອນເທັ້ນ (ຍົກເວັ້ນ ປະກາດຜູ້ໂຊກດີ)</t>
        </r>
        <r>
          <rPr>
            <sz val="9"/>
            <color indexed="81"/>
            <rFont val="Tahoma"/>
            <family val="2"/>
          </rPr>
          <t xml:space="preserve">
</t>
        </r>
      </text>
    </comment>
    <comment ref="Y1" authorId="0" shapeId="0" xr:uid="{179D702B-CF58-488D-BB24-E11F9406D70A}">
      <text>
        <r>
          <rPr>
            <b/>
            <sz val="9"/>
            <color indexed="81"/>
            <rFont val="Tahoma"/>
            <family val="2"/>
          </rPr>
          <t>Advice:
ຈຳນວນ Kpi ທັງໝົດ / ຈຳນວນຄອນເທັ້ນ (ຍົກເວັ້ນ ປະກາດຜູ້ໂຊກດີ)</t>
        </r>
      </text>
    </comment>
    <comment ref="AA1" authorId="0" shapeId="0" xr:uid="{7ED94F0E-4079-447B-AF59-14490EDD9C73}">
      <text>
        <r>
          <rPr>
            <b/>
            <sz val="9"/>
            <color indexed="81"/>
            <rFont val="Tahoma"/>
            <family val="2"/>
          </rPr>
          <t>Advice:
ຈຳນວນ Kpi ທັງໝົດ / ຈຳນວນຄອນເທັ້ນ (ຍົກເວັ້ນ ປະກາດຜູ້ໂຊກດີ)</t>
        </r>
        <r>
          <rPr>
            <sz val="9"/>
            <color indexed="81"/>
            <rFont val="Tahoma"/>
            <family val="2"/>
          </rPr>
          <t xml:space="preserve">
</t>
        </r>
      </text>
    </comment>
  </commentList>
</comments>
</file>

<file path=xl/sharedStrings.xml><?xml version="1.0" encoding="utf-8"?>
<sst xmlns="http://schemas.openxmlformats.org/spreadsheetml/2006/main" count="274" uniqueCount="135">
  <si>
    <t>Content Objective</t>
  </si>
  <si>
    <t xml:space="preserve">Content Style </t>
  </si>
  <si>
    <t>Related Product</t>
  </si>
  <si>
    <t>Media Format</t>
  </si>
  <si>
    <t>Campaign Base</t>
  </si>
  <si>
    <t>AWR</t>
  </si>
  <si>
    <t>Product USP</t>
  </si>
  <si>
    <t>Sponsor Can-  325ml</t>
  </si>
  <si>
    <t>Static</t>
  </si>
  <si>
    <t>Yes</t>
  </si>
  <si>
    <t>CON</t>
  </si>
  <si>
    <t>Trending</t>
  </si>
  <si>
    <t>Sponsor Bottle - 250ml</t>
  </si>
  <si>
    <t>Album</t>
  </si>
  <si>
    <t>No</t>
  </si>
  <si>
    <t>ACT</t>
  </si>
  <si>
    <t>Special day</t>
  </si>
  <si>
    <t xml:space="preserve">All </t>
  </si>
  <si>
    <t>Motion</t>
  </si>
  <si>
    <t xml:space="preserve">Call to engagement </t>
  </si>
  <si>
    <t>Short Video</t>
  </si>
  <si>
    <t>Lifestyle</t>
  </si>
  <si>
    <t>Long Video</t>
  </si>
  <si>
    <t>Page like</t>
  </si>
  <si>
    <t>Reels</t>
  </si>
  <si>
    <t>Promotion</t>
  </si>
  <si>
    <t>CAMPAIGN</t>
  </si>
  <si>
    <t xml:space="preserve">Tips </t>
  </si>
  <si>
    <t>Annoucement</t>
  </si>
  <si>
    <t>FB Live tream</t>
  </si>
  <si>
    <t>Activity</t>
  </si>
  <si>
    <t>Benefits</t>
  </si>
  <si>
    <t>Intruction</t>
  </si>
  <si>
    <t>Content Details</t>
  </si>
  <si>
    <t>Month</t>
  </si>
  <si>
    <t>Post Date</t>
  </si>
  <si>
    <t>Campaign Name</t>
  </si>
  <si>
    <t xml:space="preserve">Post Link </t>
  </si>
  <si>
    <t>Content
Performance</t>
  </si>
  <si>
    <t>Impressions</t>
  </si>
  <si>
    <t>Impressions (KPI)</t>
  </si>
  <si>
    <t xml:space="preserve">Reach </t>
  </si>
  <si>
    <t>Post Reach</t>
  </si>
  <si>
    <t>Reach 
(KPI)</t>
  </si>
  <si>
    <t>Engagement</t>
  </si>
  <si>
    <t>Engagement (KPI)</t>
  </si>
  <si>
    <t>FB Live 3Sec</t>
  </si>
  <si>
    <t>3 Sec Video Views</t>
  </si>
  <si>
    <t>3 sec Video Views (KPI)</t>
  </si>
  <si>
    <t xml:space="preserve"> 15 Sec Video Views </t>
  </si>
  <si>
    <t xml:space="preserve"> 15 Sec Vodeo Views (KPI)</t>
  </si>
  <si>
    <t>Reels (KPI)</t>
  </si>
  <si>
    <t>Link Click</t>
  </si>
  <si>
    <t>Link Click (KPI)</t>
  </si>
  <si>
    <t>Follower</t>
  </si>
  <si>
    <t>Page Visit</t>
  </si>
  <si>
    <t>Additional Note</t>
  </si>
  <si>
    <t>Live</t>
  </si>
  <si>
    <t>Lead</t>
  </si>
  <si>
    <t xml:space="preserve">Monthly </t>
  </si>
  <si>
    <t xml:space="preserve">Top 1 </t>
  </si>
  <si>
    <t xml:space="preserve">Copy ຕົວເລກມາໃສ່ </t>
  </si>
  <si>
    <t xml:space="preserve">Engagement </t>
  </si>
  <si>
    <t>Top 2</t>
  </si>
  <si>
    <t>Top 3</t>
  </si>
  <si>
    <t>Category</t>
  </si>
  <si>
    <t>Amount_Users_Input</t>
  </si>
  <si>
    <t>Shop_Location</t>
  </si>
  <si>
    <t>Price</t>
  </si>
  <si>
    <t>order</t>
  </si>
  <si>
    <t>Product</t>
  </si>
  <si>
    <t>Campaign</t>
  </si>
  <si>
    <t>Dealer</t>
  </si>
  <si>
    <t>Competitors_ID</t>
  </si>
  <si>
    <t>Monthly_Followers</t>
  </si>
  <si>
    <t>Monthly_Posts</t>
  </si>
  <si>
    <t xml:space="preserve">Sponsor ສະປອນເຊີ </t>
  </si>
  <si>
    <t>M-150</t>
  </si>
  <si>
    <t>Sting Laos</t>
  </si>
  <si>
    <t>CarabaoLaos ຄາຣາບາວລາວ</t>
  </si>
  <si>
    <t>เพจปิด</t>
  </si>
  <si>
    <t>Details for Sum of Monthly_Followers - Competitors_ID: M-150</t>
  </si>
  <si>
    <t>Row Labels</t>
  </si>
  <si>
    <t>Sum of Impressions</t>
  </si>
  <si>
    <t xml:space="preserve">Sum of Reach </t>
  </si>
  <si>
    <t>Sum of Engagement</t>
  </si>
  <si>
    <t>Sum of 3 Sec Video Views</t>
  </si>
  <si>
    <t>Sum of FB Live 3Sec</t>
  </si>
  <si>
    <t>Jan</t>
  </si>
  <si>
    <t>Sum of Amount_Users_Input</t>
  </si>
  <si>
    <t>Sum of Follower</t>
  </si>
  <si>
    <t>Sum of Monthly_Followers</t>
  </si>
  <si>
    <t>Sum of Monthly_Posts</t>
  </si>
  <si>
    <t>Sum of Page Visit</t>
  </si>
  <si>
    <t xml:space="preserve">Old Month </t>
  </si>
  <si>
    <t>New Month</t>
  </si>
  <si>
    <t xml:space="preserve">Change: </t>
  </si>
  <si>
    <t>Change: Number</t>
  </si>
  <si>
    <t xml:space="preserve">Compare Month by Month </t>
  </si>
  <si>
    <t xml:space="preserve">Follower </t>
  </si>
  <si>
    <t>Post</t>
  </si>
  <si>
    <t>Quarter | Year post</t>
  </si>
  <si>
    <t>Change: %</t>
  </si>
  <si>
    <t>Sponsor</t>
  </si>
  <si>
    <t>Sting</t>
  </si>
  <si>
    <t>Carabao laos</t>
  </si>
  <si>
    <t>RANK</t>
  </si>
  <si>
    <t>LOGO</t>
  </si>
  <si>
    <t>BRAND</t>
  </si>
  <si>
    <t>PAGE FOLLOWER</t>
  </si>
  <si>
    <t>MONTHLY POSTS</t>
  </si>
  <si>
    <t xml:space="preserve">Sting Laos </t>
  </si>
  <si>
    <t xml:space="preserve">CarabaoLaos ຄາຣາບາວລາວ </t>
  </si>
  <si>
    <t xml:space="preserve">Quarterly </t>
  </si>
  <si>
    <t>QUARTERLY POSTS</t>
  </si>
  <si>
    <t xml:space="preserve">Yearly </t>
  </si>
  <si>
    <t>Quarterly POSTS</t>
  </si>
  <si>
    <t>Photos</t>
  </si>
  <si>
    <t>Videos</t>
  </si>
  <si>
    <t>Text</t>
  </si>
  <si>
    <t>https://www.facebook.com/SponsorLaosOfficial/posts/pfbid02Y1D4hMZbAnHty6V5gnt9E6w3HB7nSY2TA6WLVY7XSP39dTrVQamqX3UzXK2WcNzPl</t>
  </si>
  <si>
    <t>https://www.facebook.com/SponsorLaosOfficial/posts/pfbid0gSab5VnknfhGxNKqHP5EUm8pm26DhuqNbPXXFvADrvvDNCtYAG1s7X93wpy7AXFsl</t>
  </si>
  <si>
    <t>https://www.facebook.com/reel/1447062616976115/</t>
  </si>
  <si>
    <t>https://www.facebook.com/SponsorLaosOfficial/posts/pfbid02DsBr94CcBnaxtTYXj7NVH4e6rta5NDRV8oJtiVDLdnUGcCkRMvhP46uFKb1eBYBzl</t>
  </si>
  <si>
    <t>https://www.facebook.com/reel/1402548504898295/</t>
  </si>
  <si>
    <t>https://www.facebook.com/SponsorLaosOfficial/posts/pfbid0MMBxsgR8xczJ8H7PiTXeTEbzNgK4CJo7wADMKxiHaQAjM3P8JEUM9u3i7pgAsmbHl</t>
  </si>
  <si>
    <t>https://www.facebook.com/SponsorLaosOfficial/posts/pfbid02VrARPJPeBsf2eMyqtAy3XeHSDLEqrveNJSys2q2GLpqGZAvp6bxqWf11HiQxZ3eQl</t>
  </si>
  <si>
    <t>https://www.facebook.com/SponsorLaosOfficial/videos/1184865630475064/</t>
  </si>
  <si>
    <t>https://www.facebook.com/SponsorLaosOfficial/posts/pfbid0GPrhHE4zagaZU1of2uH3o3r8ib7woi4p52NaUyjaxYVFWwvvnxNJxgVdbsAXA4eNl</t>
  </si>
  <si>
    <t>https://www.facebook.com/SponsorLaosOfficial/posts/pfbid0yXfMTwebaifq1dCSNvqqdcr14vzcwmQ7xooTLRgfiYStV7rfFaM2dnJymXBBMXXBl</t>
  </si>
  <si>
    <t>Views</t>
  </si>
  <si>
    <t>Reach</t>
  </si>
  <si>
    <t>2026</t>
  </si>
  <si>
    <t>เพจไม่มีการเคลื่อนไหวเกี่ยวกับผลิตภัณ และมีการเปลี่ยนชื่อ</t>
  </si>
  <si>
    <t>https://www.facebook.com/SponsorLaosOfficial/posts/pfbid0nKRdgVbZuY4vaDrnZbSHWHVvFK7EBY9QcAjjS1PU3aEUXCe1ZsuLyHFwHne6s49hl</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</si>
</sst>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3">
    <numFmt numFmtId="43" formatCode="_(* #,##0.00_);_(* \(#,##0.00\);_(* &quot;-&quot;??_);_(@_)"/>
    <numFmt numFmtId="164" formatCode="_(* #,##0_);_(* \(#,##0\);_(* &quot;-&quot;??_);_(@_)"/>
    <numFmt numFmtId="165" formatCode="[$-409]mmm\-yy;@"/>
  </numFmts>
  <fonts count="35" x14ac:knownFonts="1">
    <font>
      <sz val="11"/>
      <color theme="1"/>
      <name val="Calibri"/>
      <family val="2"/>
      <scheme val="minor"/>
    </font>
    <font>
      <sz val="11"/>
      <color theme="1"/>
      <name val="Calibri"/>
      <family val="2"/>
      <scheme val="minor"/>
    </font>
    <font>
      <b/>
      <sz val="11"/>
      <color theme="0"/>
      <name val="Calibri"/>
      <family val="2"/>
      <scheme val="minor"/>
    </font>
    <font>
      <sz val="9"/>
      <color indexed="81"/>
      <name val="Tahoma"/>
      <family val="2"/>
    </font>
    <font>
      <b/>
      <sz val="11"/>
      <color rgb="FF00B050"/>
      <name val="Calibri"/>
      <family val="2"/>
      <scheme val="minor"/>
    </font>
    <font>
      <sz val="11"/>
      <color theme="1"/>
      <name val="Segoe UI Semibold"/>
      <family val="2"/>
    </font>
    <font>
      <sz val="11"/>
      <color theme="1" tint="0.249977111117893"/>
      <name val="Segoe UI Light"/>
      <family val="2"/>
    </font>
    <font>
      <b/>
      <sz val="9"/>
      <color indexed="81"/>
      <name val="Tahoma"/>
      <family val="2"/>
    </font>
    <font>
      <b/>
      <sz val="11"/>
      <color rgb="FF873AC0"/>
      <name val="Calibri"/>
      <family val="2"/>
      <scheme val="minor"/>
    </font>
    <font>
      <b/>
      <sz val="11"/>
      <color theme="5"/>
      <name val="Calibri"/>
      <family val="2"/>
      <scheme val="minor"/>
    </font>
    <font>
      <b/>
      <sz val="11"/>
      <color rgb="FFC00000"/>
      <name val="Calibri"/>
      <family val="2"/>
      <scheme val="minor"/>
    </font>
    <font>
      <sz val="11"/>
      <color theme="4"/>
      <name val="Calibri"/>
      <family val="2"/>
      <scheme val="minor"/>
    </font>
    <font>
      <sz val="11"/>
      <color rgb="FF002060"/>
      <name val="Calibri"/>
      <family val="2"/>
      <scheme val="minor"/>
    </font>
    <font>
      <sz val="10"/>
      <color theme="1"/>
      <name val="Calibri"/>
      <family val="2"/>
      <scheme val="minor"/>
    </font>
    <font>
      <b/>
      <sz val="10"/>
      <color theme="0"/>
      <name val="Calibri"/>
      <family val="2"/>
      <scheme val="minor"/>
    </font>
    <font>
      <sz val="9"/>
      <color theme="1"/>
      <name val="Calibri"/>
      <family val="2"/>
      <scheme val="minor"/>
    </font>
    <font>
      <sz val="9"/>
      <color rgb="FF000000"/>
      <name val="Calibri"/>
      <family val="2"/>
      <scheme val="minor"/>
    </font>
    <font>
      <sz val="14"/>
      <color theme="1"/>
      <name val="Segoe UI Semibold"/>
      <family val="2"/>
    </font>
    <font>
      <b/>
      <sz val="14"/>
      <color theme="1" tint="0.249977111117893"/>
      <name val="Segoe UI Semibold"/>
      <family val="2"/>
    </font>
    <font>
      <b/>
      <sz val="12"/>
      <color theme="1" tint="0.249977111117893"/>
      <name val="Segoe UI Light"/>
      <family val="2"/>
    </font>
    <font>
      <b/>
      <sz val="18"/>
      <color theme="1"/>
      <name val="Calibri"/>
      <family val="2"/>
      <scheme val="minor"/>
    </font>
    <font>
      <b/>
      <sz val="11"/>
      <color theme="1"/>
      <name val="Calibri"/>
      <family val="2"/>
      <scheme val="minor"/>
    </font>
    <font>
      <b/>
      <sz val="16"/>
      <color theme="1" tint="0.249977111117893"/>
      <name val="Calibri"/>
      <family val="2"/>
      <scheme val="minor"/>
    </font>
    <font>
      <b/>
      <sz val="20"/>
      <color theme="1"/>
      <name val="Calibri"/>
      <family val="2"/>
      <scheme val="minor"/>
    </font>
    <font>
      <b/>
      <sz val="11"/>
      <color rgb="FFFFFFFF"/>
      <name val="Calibri"/>
      <family val="2"/>
      <scheme val="minor"/>
    </font>
    <font>
      <b/>
      <sz val="16"/>
      <color theme="1"/>
      <name val="Calibri"/>
      <family val="2"/>
      <scheme val="minor"/>
    </font>
    <font>
      <b/>
      <sz val="16"/>
      <color theme="0"/>
      <name val="Calibri"/>
      <family val="2"/>
      <scheme val="minor"/>
    </font>
    <font>
      <sz val="11"/>
      <color rgb="FF000000"/>
      <name val="Phetsarath OT"/>
    </font>
    <font>
      <sz val="11"/>
      <color rgb="FF000000"/>
      <name val="Calibri"/>
      <family val="2"/>
      <scheme val="minor"/>
    </font>
    <font>
      <sz val="11"/>
      <name val="Calibri"/>
      <family val="2"/>
      <scheme val="minor"/>
    </font>
    <font>
      <sz val="12"/>
      <color theme="1"/>
      <name val="Phetsarath OT"/>
    </font>
    <font>
      <u/>
      <sz val="11"/>
      <color theme="10"/>
      <name val="Calibri"/>
      <family val="2"/>
      <scheme val="minor"/>
    </font>
    <font>
      <b/>
      <sz val="11"/>
      <color theme="1"/>
      <name val="Segoe UI Semibold"/>
      <family val="2"/>
    </font>
    <font>
      <b/>
      <sz val="14"/>
      <color theme="1"/>
      <name val="Segoe UI Semibold"/>
      <family val="2"/>
    </font>
    <font>
      <b/>
      <sz val="14"/>
      <color theme="1"/>
      <name val="Phetsarath OT"/>
    </font>
  </fonts>
  <fills count="24">
    <fill>
      <patternFill patternType="none"/>
    </fill>
    <fill>
      <patternFill patternType="gray125"/>
    </fill>
    <fill>
      <patternFill patternType="solid">
        <fgColor theme="3" tint="0.39997558519241921"/>
        <bgColor theme="1"/>
      </patternFill>
    </fill>
    <fill>
      <patternFill patternType="solid">
        <fgColor theme="8" tint="0.39997558519241921"/>
        <bgColor theme="1"/>
      </patternFill>
    </fill>
    <fill>
      <patternFill patternType="solid">
        <fgColor theme="9"/>
        <bgColor theme="1"/>
      </patternFill>
    </fill>
    <fill>
      <patternFill patternType="solid">
        <fgColor rgb="FFFF0000"/>
        <bgColor theme="1"/>
      </patternFill>
    </fill>
    <fill>
      <patternFill patternType="solid">
        <fgColor rgb="FF922FFF"/>
        <bgColor theme="1"/>
      </patternFill>
    </fill>
    <fill>
      <patternFill patternType="solid">
        <fgColor theme="1"/>
        <bgColor indexed="64"/>
      </patternFill>
    </fill>
    <fill>
      <patternFill patternType="solid">
        <fgColor theme="1"/>
        <bgColor theme="1"/>
      </patternFill>
    </fill>
    <fill>
      <patternFill patternType="solid">
        <fgColor rgb="FFFFFF00"/>
        <bgColor indexed="64"/>
      </patternFill>
    </fill>
    <fill>
      <patternFill patternType="solid">
        <fgColor rgb="FFF3F5FB"/>
        <bgColor indexed="64"/>
      </patternFill>
    </fill>
    <fill>
      <patternFill patternType="solid">
        <fgColor theme="5"/>
        <bgColor theme="1"/>
      </patternFill>
    </fill>
    <fill>
      <patternFill patternType="solid">
        <fgColor theme="4"/>
        <bgColor theme="1"/>
      </patternFill>
    </fill>
    <fill>
      <patternFill patternType="solid">
        <fgColor rgb="FF873AC0"/>
        <bgColor theme="1"/>
      </patternFill>
    </fill>
    <fill>
      <patternFill patternType="solid">
        <fgColor rgb="FFBD92DE"/>
        <bgColor theme="1"/>
      </patternFill>
    </fill>
    <fill>
      <patternFill patternType="solid">
        <fgColor rgb="FF00B0F0"/>
        <bgColor indexed="64"/>
      </patternFill>
    </fill>
    <fill>
      <patternFill patternType="solid">
        <fgColor theme="0"/>
        <bgColor indexed="64"/>
      </patternFill>
    </fill>
    <fill>
      <patternFill patternType="solid">
        <fgColor theme="2" tint="-0.249977111117893"/>
        <bgColor indexed="64"/>
      </patternFill>
    </fill>
    <fill>
      <patternFill patternType="solid">
        <fgColor theme="0"/>
        <bgColor rgb="FF000000"/>
      </patternFill>
    </fill>
    <fill>
      <patternFill patternType="solid">
        <fgColor theme="0" tint="-0.249977111117893"/>
        <bgColor indexed="64"/>
      </patternFill>
    </fill>
    <fill>
      <patternFill patternType="solid">
        <fgColor rgb="FFF9FAFD"/>
        <bgColor indexed="64"/>
      </patternFill>
    </fill>
    <fill>
      <patternFill patternType="solid">
        <fgColor rgb="FFC00000"/>
        <bgColor indexed="64"/>
      </patternFill>
    </fill>
    <fill>
      <patternFill patternType="solid">
        <fgColor rgb="FFFFFF00"/>
        <bgColor rgb="FF000000"/>
      </patternFill>
    </fill>
    <fill>
      <patternFill patternType="solid">
        <fgColor theme="1" tint="0.499984740745262"/>
        <bgColor indexed="64"/>
      </patternFill>
    </fill>
  </fills>
  <borders count="26">
    <border>
      <left/>
      <right/>
      <top/>
      <bottom/>
      <diagonal/>
    </border>
    <border>
      <left style="thin">
        <color indexed="64"/>
      </left>
      <right/>
      <top style="thin">
        <color theme="1"/>
      </top>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theme="2"/>
      </left>
      <right style="thin">
        <color theme="2"/>
      </right>
      <top style="thin">
        <color theme="2"/>
      </top>
      <bottom style="thin">
        <color theme="2"/>
      </bottom>
      <diagonal/>
    </border>
    <border>
      <left/>
      <right/>
      <top style="thin">
        <color theme="2"/>
      </top>
      <bottom style="thin">
        <color theme="2"/>
      </bottom>
      <diagonal/>
    </border>
    <border>
      <left/>
      <right style="thin">
        <color theme="2"/>
      </right>
      <top style="thin">
        <color theme="2"/>
      </top>
      <bottom style="thin">
        <color theme="2"/>
      </bottom>
      <diagonal/>
    </border>
    <border>
      <left/>
      <right style="thin">
        <color theme="2"/>
      </right>
      <top/>
      <bottom/>
      <diagonal/>
    </border>
    <border>
      <left style="thin">
        <color theme="2"/>
      </left>
      <right style="thin">
        <color theme="2"/>
      </right>
      <top/>
      <bottom/>
      <diagonal/>
    </border>
    <border>
      <left style="thin">
        <color theme="2"/>
      </left>
      <right/>
      <top/>
      <bottom/>
      <diagonal/>
    </border>
    <border>
      <left style="thin">
        <color theme="1"/>
      </left>
      <right style="thin">
        <color theme="1"/>
      </right>
      <top style="thin">
        <color theme="1"/>
      </top>
      <bottom style="thin">
        <color theme="1"/>
      </bottom>
      <diagonal/>
    </border>
    <border>
      <left/>
      <right/>
      <top/>
      <bottom style="thin">
        <color theme="2"/>
      </bottom>
      <diagonal/>
    </border>
    <border>
      <left style="thin">
        <color theme="1"/>
      </left>
      <right/>
      <top/>
      <bottom/>
      <diagonal/>
    </border>
    <border>
      <left/>
      <right style="thin">
        <color theme="5"/>
      </right>
      <top/>
      <bottom/>
      <diagonal/>
    </border>
    <border>
      <left/>
      <right style="thin">
        <color theme="0" tint="-0.14999847407452621"/>
      </right>
      <top/>
      <bottom/>
      <diagonal/>
    </border>
    <border>
      <left/>
      <right style="thin">
        <color theme="2"/>
      </right>
      <top style="thin">
        <color theme="2"/>
      </top>
      <bottom/>
      <diagonal/>
    </border>
    <border>
      <left style="thin">
        <color theme="0" tint="-0.14999847407452621"/>
      </left>
      <right style="thin">
        <color theme="0" tint="-0.14999847407452621"/>
      </right>
      <top style="thin">
        <color theme="0" tint="-0.14999847407452621"/>
      </top>
      <bottom style="thin">
        <color theme="2"/>
      </bottom>
      <diagonal/>
    </border>
    <border>
      <left style="thin">
        <color theme="0" tint="-0.14999847407452621"/>
      </left>
      <right style="thin">
        <color theme="0" tint="-0.14999847407452621"/>
      </right>
      <top style="thin">
        <color theme="2"/>
      </top>
      <bottom style="thin">
        <color theme="2"/>
      </bottom>
      <diagonal/>
    </border>
    <border>
      <left style="thin">
        <color theme="0" tint="-0.14999847407452621"/>
      </left>
      <right style="thin">
        <color theme="0" tint="-0.14999847407452621"/>
      </right>
      <top style="thin">
        <color theme="2"/>
      </top>
      <bottom style="thin">
        <color theme="0" tint="-0.14999847407452621"/>
      </bottom>
      <diagonal/>
    </border>
    <border>
      <left/>
      <right/>
      <top style="thin">
        <color theme="2"/>
      </top>
      <bottom/>
      <diagonal/>
    </border>
    <border>
      <left style="thin">
        <color theme="2"/>
      </left>
      <right style="thin">
        <color theme="2"/>
      </right>
      <top style="thin">
        <color theme="2"/>
      </top>
      <bottom/>
      <diagonal/>
    </border>
    <border>
      <left style="thin">
        <color theme="0" tint="-0.14999847407452621"/>
      </left>
      <right style="thin">
        <color theme="2"/>
      </right>
      <top style="thin">
        <color theme="0" tint="-0.14999847407452621"/>
      </top>
      <bottom style="thin">
        <color theme="0" tint="-0.14999847407452621"/>
      </bottom>
      <diagonal/>
    </border>
    <border>
      <left style="thin">
        <color theme="2"/>
      </left>
      <right/>
      <top/>
      <bottom style="thin">
        <color theme="2"/>
      </bottom>
      <diagonal/>
    </border>
    <border>
      <left/>
      <right/>
      <top/>
      <bottom style="thin">
        <color indexed="64"/>
      </bottom>
      <diagonal/>
    </border>
    <border>
      <left style="thin">
        <color theme="4" tint="0.59999389629810485"/>
      </left>
      <right style="thin">
        <color theme="2"/>
      </right>
      <top style="thin">
        <color theme="2"/>
      </top>
      <bottom style="thin">
        <color theme="2"/>
      </bottom>
      <diagonal/>
    </border>
    <border>
      <left style="thin">
        <color theme="2"/>
      </left>
      <right/>
      <top style="thin">
        <color theme="2"/>
      </top>
      <bottom style="thin">
        <color theme="2"/>
      </bottom>
      <diagonal/>
    </border>
  </borders>
  <cellStyleXfs count="4">
    <xf numFmtId="0" fontId="0" fillId="0" borderId="0"/>
    <xf numFmtId="43" fontId="1" fillId="0" borderId="0" applyFont="0" applyFill="0" applyBorder="0" applyAlignment="0" applyProtection="0"/>
    <xf numFmtId="9" fontId="1" fillId="0" borderId="0" applyFont="0" applyFill="0" applyBorder="0" applyAlignment="0" applyProtection="0"/>
    <xf numFmtId="0" fontId="31" fillId="0" borderId="0" applyNumberFormat="0" applyFill="0" applyBorder="0" applyAlignment="0" applyProtection="0"/>
  </cellStyleXfs>
  <cellXfs count="120">
    <xf numFmtId="0" fontId="0" fillId="0" borderId="0" xfId="0"/>
    <xf numFmtId="164" fontId="2" fillId="2" borderId="1" xfId="1" applyNumberFormat="1" applyFont="1" applyFill="1" applyBorder="1" applyAlignment="1">
      <alignment horizontal="center" vertical="center" wrapText="1"/>
    </xf>
    <xf numFmtId="164" fontId="2" fillId="4" borderId="1" xfId="1" applyNumberFormat="1" applyFont="1" applyFill="1" applyBorder="1" applyAlignment="1">
      <alignment horizontal="center" vertical="center" wrapText="1"/>
    </xf>
    <xf numFmtId="164" fontId="2" fillId="5" borderId="1" xfId="1" applyNumberFormat="1" applyFont="1" applyFill="1" applyBorder="1" applyAlignment="1">
      <alignment horizontal="center" vertical="center" wrapText="1"/>
    </xf>
    <xf numFmtId="164" fontId="2" fillId="6" borderId="1" xfId="1" applyNumberFormat="1" applyFont="1" applyFill="1" applyBorder="1" applyAlignment="1">
      <alignment horizontal="center" vertical="center" wrapText="1"/>
    </xf>
    <xf numFmtId="165" fontId="2" fillId="2" borderId="1" xfId="1" applyNumberFormat="1" applyFont="1" applyFill="1" applyBorder="1" applyAlignment="1">
      <alignment horizontal="center" vertical="center" wrapText="1"/>
    </xf>
    <xf numFmtId="164" fontId="0" fillId="0" borderId="0" xfId="1" applyNumberFormat="1" applyFont="1"/>
    <xf numFmtId="0" fontId="0" fillId="0" borderId="0" xfId="0" applyAlignment="1">
      <alignment horizontal="center" vertical="center"/>
    </xf>
    <xf numFmtId="164" fontId="0" fillId="0" borderId="0" xfId="0" applyNumberFormat="1"/>
    <xf numFmtId="0" fontId="0" fillId="0" borderId="0" xfId="0" pivotButton="1"/>
    <xf numFmtId="0" fontId="0" fillId="0" borderId="0" xfId="0" applyAlignment="1">
      <alignment horizontal="left"/>
    </xf>
    <xf numFmtId="0" fontId="0" fillId="0" borderId="0" xfId="0" applyAlignment="1">
      <alignment horizontal="left" indent="1"/>
    </xf>
    <xf numFmtId="0" fontId="2" fillId="7" borderId="0" xfId="0" applyFont="1" applyFill="1" applyAlignment="1">
      <alignment horizontal="center" vertical="center" wrapText="1"/>
    </xf>
    <xf numFmtId="164" fontId="2" fillId="8" borderId="1" xfId="1" applyNumberFormat="1" applyFont="1" applyFill="1" applyBorder="1" applyAlignment="1">
      <alignment horizontal="center" vertical="center" wrapText="1"/>
    </xf>
    <xf numFmtId="0" fontId="0" fillId="0" borderId="0" xfId="0" applyAlignment="1">
      <alignment horizontal="left" indent="2"/>
    </xf>
    <xf numFmtId="165" fontId="0" fillId="0" borderId="0" xfId="0" applyNumberFormat="1" applyAlignment="1">
      <alignment horizontal="center" vertical="center"/>
    </xf>
    <xf numFmtId="9" fontId="0" fillId="0" borderId="0" xfId="2" applyFont="1"/>
    <xf numFmtId="0" fontId="0" fillId="0" borderId="0" xfId="0" applyAlignment="1">
      <alignment horizontal="right"/>
    </xf>
    <xf numFmtId="0" fontId="0" fillId="0" borderId="0" xfId="0" applyAlignment="1">
      <alignment horizontal="center"/>
    </xf>
    <xf numFmtId="0" fontId="4" fillId="0" borderId="0" xfId="0" applyFont="1" applyAlignment="1">
      <alignment vertical="center"/>
    </xf>
    <xf numFmtId="0" fontId="4" fillId="0" borderId="0" xfId="0" applyFont="1"/>
    <xf numFmtId="0" fontId="0" fillId="0" borderId="9" xfId="0" applyBorder="1"/>
    <xf numFmtId="0" fontId="0" fillId="10" borderId="0" xfId="0" applyFill="1"/>
    <xf numFmtId="0" fontId="6" fillId="10" borderId="5" xfId="0" applyFont="1" applyFill="1" applyBorder="1" applyAlignment="1">
      <alignment horizontal="center" vertical="center"/>
    </xf>
    <xf numFmtId="0" fontId="5" fillId="10" borderId="6" xfId="0" applyFont="1" applyFill="1" applyBorder="1" applyAlignment="1">
      <alignment horizontal="center" vertical="center"/>
    </xf>
    <xf numFmtId="0" fontId="5" fillId="10" borderId="5" xfId="0" applyFont="1" applyFill="1" applyBorder="1" applyAlignment="1">
      <alignment horizontal="center" vertical="center"/>
    </xf>
    <xf numFmtId="0" fontId="5" fillId="10" borderId="4" xfId="0" applyFont="1" applyFill="1" applyBorder="1" applyAlignment="1">
      <alignment horizontal="center" vertical="center"/>
    </xf>
    <xf numFmtId="0" fontId="5" fillId="10" borderId="7" xfId="0" applyFont="1" applyFill="1" applyBorder="1" applyAlignment="1">
      <alignment horizontal="center" vertical="center"/>
    </xf>
    <xf numFmtId="0" fontId="5" fillId="10" borderId="0" xfId="0" applyFont="1" applyFill="1" applyAlignment="1">
      <alignment horizontal="center" vertical="center"/>
    </xf>
    <xf numFmtId="0" fontId="0" fillId="10" borderId="7" xfId="0" applyFill="1" applyBorder="1"/>
    <xf numFmtId="164" fontId="2" fillId="11" borderId="1" xfId="1" applyNumberFormat="1" applyFont="1" applyFill="1" applyBorder="1" applyAlignment="1">
      <alignment horizontal="center" vertical="center" wrapText="1"/>
    </xf>
    <xf numFmtId="164" fontId="2" fillId="12" borderId="1" xfId="1" applyNumberFormat="1" applyFont="1" applyFill="1" applyBorder="1" applyAlignment="1">
      <alignment horizontal="center" vertical="center" wrapText="1"/>
    </xf>
    <xf numFmtId="164" fontId="2" fillId="13" borderId="1" xfId="1" applyNumberFormat="1" applyFont="1" applyFill="1" applyBorder="1" applyAlignment="1">
      <alignment horizontal="center" vertical="center" wrapText="1"/>
    </xf>
    <xf numFmtId="164" fontId="2" fillId="14" borderId="1" xfId="1" applyNumberFormat="1" applyFont="1" applyFill="1" applyBorder="1" applyAlignment="1">
      <alignment horizontal="center" vertical="center" wrapText="1"/>
    </xf>
    <xf numFmtId="0" fontId="8" fillId="0" borderId="0" xfId="0" applyFont="1" applyAlignment="1">
      <alignment horizontal="right"/>
    </xf>
    <xf numFmtId="0" fontId="9" fillId="0" borderId="0" xfId="0" applyFont="1" applyAlignment="1">
      <alignment horizontal="right"/>
    </xf>
    <xf numFmtId="0" fontId="4" fillId="0" borderId="0" xfId="0" applyFont="1" applyAlignment="1">
      <alignment horizontal="right"/>
    </xf>
    <xf numFmtId="0" fontId="10" fillId="0" borderId="0" xfId="0" applyFont="1" applyAlignment="1">
      <alignment horizontal="right"/>
    </xf>
    <xf numFmtId="0" fontId="0" fillId="0" borderId="3" xfId="0" applyBorder="1"/>
    <xf numFmtId="10" fontId="0" fillId="0" borderId="3" xfId="2" applyNumberFormat="1" applyFont="1" applyBorder="1"/>
    <xf numFmtId="0" fontId="11" fillId="0" borderId="4" xfId="0" applyFont="1" applyBorder="1" applyAlignment="1">
      <alignment horizontal="center" vertical="center"/>
    </xf>
    <xf numFmtId="0" fontId="12" fillId="0" borderId="4" xfId="0" applyFont="1" applyBorder="1" applyAlignment="1">
      <alignment horizontal="center" vertical="center"/>
    </xf>
    <xf numFmtId="0" fontId="0" fillId="7" borderId="0" xfId="0" applyFill="1" applyAlignment="1">
      <alignment horizontal="center" vertical="center"/>
    </xf>
    <xf numFmtId="164" fontId="0" fillId="0" borderId="0" xfId="1" applyNumberFormat="1" applyFont="1" applyAlignment="1">
      <alignment horizontal="center" vertical="center"/>
    </xf>
    <xf numFmtId="0" fontId="0" fillId="17" borderId="0" xfId="0" applyFill="1" applyAlignment="1">
      <alignment horizontal="center" vertical="center"/>
    </xf>
    <xf numFmtId="165" fontId="13" fillId="16" borderId="10" xfId="0" applyNumberFormat="1" applyFont="1" applyFill="1" applyBorder="1" applyAlignment="1">
      <alignment horizontal="center" vertical="center"/>
    </xf>
    <xf numFmtId="0" fontId="13" fillId="16" borderId="10" xfId="0" applyFont="1" applyFill="1" applyBorder="1"/>
    <xf numFmtId="164" fontId="13" fillId="16" borderId="10" xfId="1" applyNumberFormat="1" applyFont="1" applyFill="1" applyBorder="1"/>
    <xf numFmtId="0" fontId="13" fillId="0" borderId="0" xfId="0" applyFont="1"/>
    <xf numFmtId="0" fontId="13" fillId="0" borderId="0" xfId="0" applyFont="1" applyAlignment="1">
      <alignment horizontal="center" vertical="center"/>
    </xf>
    <xf numFmtId="0" fontId="13" fillId="16" borderId="0" xfId="0" applyFont="1" applyFill="1" applyAlignment="1">
      <alignment horizontal="center" vertical="center"/>
    </xf>
    <xf numFmtId="165" fontId="16" fillId="18" borderId="2" xfId="0" applyNumberFormat="1" applyFont="1" applyFill="1" applyBorder="1" applyAlignment="1">
      <alignment horizontal="center" vertical="center"/>
    </xf>
    <xf numFmtId="0" fontId="15" fillId="16" borderId="2" xfId="0" applyFont="1" applyFill="1" applyBorder="1"/>
    <xf numFmtId="3" fontId="0" fillId="0" borderId="2" xfId="0" applyNumberFormat="1" applyBorder="1" applyAlignment="1">
      <alignment horizontal="center"/>
    </xf>
    <xf numFmtId="0" fontId="17" fillId="10" borderId="4" xfId="0" applyFont="1" applyFill="1" applyBorder="1" applyAlignment="1">
      <alignment horizontal="center" vertical="center"/>
    </xf>
    <xf numFmtId="0" fontId="17" fillId="10" borderId="4" xfId="0" applyFont="1" applyFill="1" applyBorder="1" applyAlignment="1">
      <alignment horizontal="center" vertical="center" wrapText="1"/>
    </xf>
    <xf numFmtId="0" fontId="17" fillId="10" borderId="8" xfId="0" applyFont="1" applyFill="1" applyBorder="1" applyAlignment="1">
      <alignment horizontal="center" vertical="center" wrapText="1"/>
    </xf>
    <xf numFmtId="3" fontId="18" fillId="10" borderId="6" xfId="0" applyNumberFormat="1" applyFont="1" applyFill="1" applyBorder="1" applyAlignment="1">
      <alignment horizontal="center" vertical="center"/>
    </xf>
    <xf numFmtId="0" fontId="19" fillId="10" borderId="4" xfId="0" applyFont="1" applyFill="1" applyBorder="1" applyAlignment="1">
      <alignment horizontal="center" vertical="center"/>
    </xf>
    <xf numFmtId="0" fontId="19" fillId="10" borderId="5" xfId="0" applyFont="1" applyFill="1" applyBorder="1" applyAlignment="1">
      <alignment horizontal="center" vertical="center"/>
    </xf>
    <xf numFmtId="0" fontId="19" fillId="10" borderId="6" xfId="0" applyFont="1" applyFill="1" applyBorder="1" applyAlignment="1">
      <alignment horizontal="center" vertical="center"/>
    </xf>
    <xf numFmtId="3" fontId="0" fillId="0" borderId="2" xfId="0" applyNumberFormat="1" applyBorder="1" applyAlignment="1">
      <alignment horizontal="center" vertical="center"/>
    </xf>
    <xf numFmtId="37" fontId="0" fillId="0" borderId="0" xfId="0" applyNumberFormat="1"/>
    <xf numFmtId="164" fontId="2" fillId="3" borderId="1" xfId="1" applyNumberFormat="1" applyFont="1" applyFill="1" applyBorder="1" applyAlignment="1">
      <alignment horizontal="center" vertical="center"/>
    </xf>
    <xf numFmtId="10" fontId="0" fillId="0" borderId="0" xfId="2" applyNumberFormat="1" applyFont="1" applyBorder="1" applyAlignment="1">
      <alignment horizontal="left"/>
    </xf>
    <xf numFmtId="0" fontId="21" fillId="0" borderId="0" xfId="0" applyFont="1" applyAlignment="1">
      <alignment horizontal="center"/>
    </xf>
    <xf numFmtId="0" fontId="21" fillId="0" borderId="0" xfId="0" applyFont="1"/>
    <xf numFmtId="0" fontId="22" fillId="0" borderId="0" xfId="0" applyFont="1" applyAlignment="1">
      <alignment horizontal="center" vertical="center"/>
    </xf>
    <xf numFmtId="164" fontId="0" fillId="0" borderId="0" xfId="1" applyNumberFormat="1" applyFont="1" applyFill="1" applyBorder="1" applyAlignment="1">
      <alignment horizontal="center" vertical="center"/>
    </xf>
    <xf numFmtId="164" fontId="0" fillId="0" borderId="0" xfId="1" applyNumberFormat="1" applyFont="1" applyBorder="1" applyAlignment="1">
      <alignment horizontal="center" vertical="center"/>
    </xf>
    <xf numFmtId="164" fontId="0" fillId="0" borderId="0" xfId="1" applyNumberFormat="1" applyFont="1" applyFill="1" applyBorder="1"/>
    <xf numFmtId="164" fontId="0" fillId="0" borderId="0" xfId="1" applyNumberFormat="1" applyFont="1" applyBorder="1"/>
    <xf numFmtId="0" fontId="21" fillId="0" borderId="0" xfId="0" applyFont="1" applyAlignment="1">
      <alignment horizontal="center" vertical="center"/>
    </xf>
    <xf numFmtId="0" fontId="22" fillId="20" borderId="0" xfId="0" applyFont="1" applyFill="1" applyAlignment="1">
      <alignment horizontal="center" vertical="center"/>
    </xf>
    <xf numFmtId="3" fontId="23" fillId="20" borderId="0" xfId="0" applyNumberFormat="1" applyFont="1" applyFill="1" applyAlignment="1">
      <alignment horizontal="center" vertical="center"/>
    </xf>
    <xf numFmtId="0" fontId="20" fillId="19" borderId="11" xfId="0" applyFont="1" applyFill="1" applyBorder="1" applyAlignment="1">
      <alignment horizontal="center" vertical="center"/>
    </xf>
    <xf numFmtId="0" fontId="20" fillId="0" borderId="0" xfId="0" applyFont="1" applyAlignment="1">
      <alignment horizontal="center" vertical="center"/>
    </xf>
    <xf numFmtId="0" fontId="24" fillId="21" borderId="0" xfId="0" applyFont="1" applyFill="1" applyAlignment="1">
      <alignment horizontal="center" vertical="center"/>
    </xf>
    <xf numFmtId="0" fontId="2" fillId="7" borderId="0" xfId="0" applyFont="1" applyFill="1" applyAlignment="1">
      <alignment horizontal="center" vertical="center"/>
    </xf>
    <xf numFmtId="164" fontId="2" fillId="7" borderId="0" xfId="1" applyNumberFormat="1" applyFont="1" applyFill="1" applyBorder="1" applyAlignment="1">
      <alignment horizontal="center" vertical="center"/>
    </xf>
    <xf numFmtId="165" fontId="2" fillId="7" borderId="12" xfId="0" applyNumberFormat="1" applyFont="1" applyFill="1" applyBorder="1" applyAlignment="1">
      <alignment horizontal="center" vertical="center"/>
    </xf>
    <xf numFmtId="0" fontId="14" fillId="8" borderId="12" xfId="0" applyFont="1" applyFill="1" applyBorder="1" applyAlignment="1">
      <alignment horizontal="center" vertical="center"/>
    </xf>
    <xf numFmtId="0" fontId="14" fillId="8" borderId="0" xfId="0" applyFont="1" applyFill="1" applyAlignment="1">
      <alignment horizontal="center" vertical="center"/>
    </xf>
    <xf numFmtId="164" fontId="14" fillId="8" borderId="0" xfId="1" applyNumberFormat="1" applyFont="1" applyFill="1" applyBorder="1" applyAlignment="1">
      <alignment horizontal="center" vertical="center"/>
    </xf>
    <xf numFmtId="164" fontId="14" fillId="8" borderId="13" xfId="1" applyNumberFormat="1" applyFont="1" applyFill="1" applyBorder="1" applyAlignment="1">
      <alignment horizontal="center" vertical="center"/>
    </xf>
    <xf numFmtId="0" fontId="0" fillId="10" borderId="14" xfId="0" applyFill="1" applyBorder="1"/>
    <xf numFmtId="0" fontId="5" fillId="10" borderId="15" xfId="0" applyFont="1" applyFill="1" applyBorder="1" applyAlignment="1">
      <alignment horizontal="center" vertical="center"/>
    </xf>
    <xf numFmtId="0" fontId="5" fillId="10" borderId="16" xfId="0" applyFont="1" applyFill="1" applyBorder="1" applyAlignment="1">
      <alignment horizontal="center" vertical="center"/>
    </xf>
    <xf numFmtId="0" fontId="5" fillId="10" borderId="17" xfId="0" applyFont="1" applyFill="1" applyBorder="1" applyAlignment="1">
      <alignment horizontal="center" vertical="center"/>
    </xf>
    <xf numFmtId="0" fontId="5" fillId="10" borderId="18" xfId="0" applyFont="1" applyFill="1" applyBorder="1" applyAlignment="1">
      <alignment horizontal="center" vertical="center"/>
    </xf>
    <xf numFmtId="0" fontId="5" fillId="10" borderId="19" xfId="0" applyFont="1" applyFill="1" applyBorder="1" applyAlignment="1">
      <alignment horizontal="center" vertical="center"/>
    </xf>
    <xf numFmtId="3" fontId="18" fillId="10" borderId="15" xfId="0" applyNumberFormat="1" applyFont="1" applyFill="1" applyBorder="1" applyAlignment="1">
      <alignment horizontal="center" vertical="center"/>
    </xf>
    <xf numFmtId="0" fontId="5" fillId="10" borderId="21" xfId="0" applyFont="1" applyFill="1" applyBorder="1" applyAlignment="1">
      <alignment horizontal="center" vertical="center"/>
    </xf>
    <xf numFmtId="0" fontId="19" fillId="10" borderId="20" xfId="0" applyFont="1" applyFill="1" applyBorder="1" applyAlignment="1">
      <alignment horizontal="center" vertical="center"/>
    </xf>
    <xf numFmtId="0" fontId="17" fillId="10" borderId="20" xfId="0" applyFont="1" applyFill="1" applyBorder="1" applyAlignment="1">
      <alignment horizontal="center" vertical="center" wrapText="1"/>
    </xf>
    <xf numFmtId="0" fontId="25" fillId="9" borderId="2" xfId="0" applyFont="1" applyFill="1" applyBorder="1" applyAlignment="1">
      <alignment horizontal="center"/>
    </xf>
    <xf numFmtId="0" fontId="25" fillId="0" borderId="2" xfId="0" applyFont="1" applyBorder="1" applyAlignment="1">
      <alignment horizontal="center"/>
    </xf>
    <xf numFmtId="0" fontId="26" fillId="15" borderId="2" xfId="0" applyFont="1" applyFill="1" applyBorder="1" applyAlignment="1">
      <alignment horizontal="center"/>
    </xf>
    <xf numFmtId="3" fontId="0" fillId="0" borderId="0" xfId="0" applyNumberFormat="1" applyAlignment="1">
      <alignment horizontal="center" vertical="center"/>
    </xf>
    <xf numFmtId="14" fontId="0" fillId="0" borderId="0" xfId="0" applyNumberFormat="1" applyAlignment="1">
      <alignment horizontal="center" vertical="center"/>
    </xf>
    <xf numFmtId="0" fontId="20" fillId="0" borderId="0" xfId="0" applyFont="1" applyAlignment="1">
      <alignment vertical="center"/>
    </xf>
    <xf numFmtId="0" fontId="27" fillId="22" borderId="2" xfId="0" applyFont="1" applyFill="1" applyBorder="1" applyAlignment="1">
      <alignment horizontal="center"/>
    </xf>
    <xf numFmtId="0" fontId="28" fillId="0" borderId="0" xfId="0" applyFont="1"/>
    <xf numFmtId="22" fontId="0" fillId="0" borderId="0" xfId="0" applyNumberFormat="1"/>
    <xf numFmtId="0" fontId="29" fillId="23" borderId="23" xfId="0" applyFont="1" applyFill="1" applyBorder="1" applyAlignment="1">
      <alignment horizontal="center" vertical="center"/>
    </xf>
    <xf numFmtId="22" fontId="29" fillId="23" borderId="23" xfId="0" applyNumberFormat="1" applyFont="1" applyFill="1" applyBorder="1"/>
    <xf numFmtId="164" fontId="29" fillId="23" borderId="23" xfId="1" applyNumberFormat="1" applyFont="1" applyFill="1" applyBorder="1" applyAlignment="1">
      <alignment horizontal="center" vertical="center"/>
    </xf>
    <xf numFmtId="0" fontId="29" fillId="23" borderId="23" xfId="0" applyFont="1" applyFill="1" applyBorder="1"/>
    <xf numFmtId="164" fontId="29" fillId="23" borderId="23" xfId="1" applyNumberFormat="1" applyFont="1" applyFill="1" applyBorder="1"/>
    <xf numFmtId="164" fontId="0" fillId="0" borderId="0" xfId="0" applyNumberFormat="1" applyAlignment="1">
      <alignment horizontal="center" vertical="center"/>
    </xf>
    <xf numFmtId="14" fontId="0" fillId="0" borderId="0" xfId="0" applyNumberFormat="1"/>
    <xf numFmtId="0" fontId="30" fillId="10" borderId="8" xfId="0" applyFont="1" applyFill="1" applyBorder="1" applyAlignment="1">
      <alignment horizontal="center" vertical="center" wrapText="1"/>
    </xf>
    <xf numFmtId="0" fontId="30" fillId="10" borderId="4" xfId="0" applyFont="1" applyFill="1" applyBorder="1" applyAlignment="1">
      <alignment horizontal="center" vertical="center" wrapText="1"/>
    </xf>
    <xf numFmtId="0" fontId="31" fillId="0" borderId="0" xfId="3"/>
    <xf numFmtId="0" fontId="32" fillId="10" borderId="24" xfId="0" applyFont="1" applyFill="1" applyBorder="1" applyAlignment="1">
      <alignment horizontal="center" vertical="center"/>
    </xf>
    <xf numFmtId="0" fontId="32" fillId="10" borderId="7" xfId="0" applyFont="1" applyFill="1" applyBorder="1" applyAlignment="1">
      <alignment horizontal="center" vertical="center"/>
    </xf>
    <xf numFmtId="3" fontId="33" fillId="10" borderId="9" xfId="0" applyNumberFormat="1" applyFont="1" applyFill="1" applyBorder="1" applyAlignment="1">
      <alignment horizontal="center" vertical="center"/>
    </xf>
    <xf numFmtId="0" fontId="34" fillId="10" borderId="25" xfId="0" applyFont="1" applyFill="1" applyBorder="1" applyAlignment="1">
      <alignment horizontal="center" vertical="center" wrapText="1"/>
    </xf>
    <xf numFmtId="0" fontId="20" fillId="19" borderId="11" xfId="0" applyFont="1" applyFill="1" applyBorder="1" applyAlignment="1">
      <alignment horizontal="center" vertical="center"/>
    </xf>
    <xf numFmtId="0" fontId="20" fillId="19" borderId="22" xfId="0" applyFont="1" applyFill="1" applyBorder="1" applyAlignment="1">
      <alignment horizontal="center" vertical="center"/>
    </xf>
  </cellXfs>
  <cellStyles count="4">
    <cellStyle name="Comma" xfId="1" builtinId="3"/>
    <cellStyle name="Hyperlink" xfId="3" builtinId="8"/>
    <cellStyle name="Normal" xfId="0" builtinId="0"/>
    <cellStyle name="Percent" xfId="2" builtinId="5"/>
  </cellStyles>
  <dxfs count="79">
    <dxf>
      <font>
        <b/>
        <strike val="0"/>
        <outline val="0"/>
        <shadow val="0"/>
        <u val="none"/>
        <vertAlign val="baseline"/>
        <sz val="14"/>
        <color theme="1" tint="0.249977111117893"/>
        <name val="Segoe UI Semibold"/>
        <family val="2"/>
        <scheme val="none"/>
      </font>
      <numFmt numFmtId="3" formatCode="#,##0"/>
      <fill>
        <patternFill patternType="solid">
          <fgColor indexed="64"/>
          <bgColor rgb="FFF3F5FB"/>
        </patternFill>
      </fill>
      <alignment horizontal="center" vertical="center" textRotation="0" wrapText="0" indent="0" justifyLastLine="0" shrinkToFit="0" readingOrder="0"/>
      <border diagonalUp="0" diagonalDown="0">
        <left/>
        <right style="thin">
          <color theme="2"/>
        </right>
        <top style="thin">
          <color theme="2"/>
        </top>
        <bottom style="thin">
          <color theme="2"/>
        </bottom>
        <vertical/>
        <horizontal/>
      </border>
    </dxf>
    <dxf>
      <font>
        <b/>
        <strike val="0"/>
        <outline val="0"/>
        <shadow val="0"/>
        <u val="none"/>
        <vertAlign val="baseline"/>
        <sz val="14"/>
        <color theme="1"/>
        <name val="Segoe UI Semibold"/>
        <family val="2"/>
        <scheme val="none"/>
      </font>
      <numFmt numFmtId="3" formatCode="#,##0"/>
      <fill>
        <patternFill patternType="solid">
          <fgColor indexed="64"/>
          <bgColor rgb="FFF3F5FB"/>
        </patternFill>
      </fill>
      <alignment horizontal="center" vertical="center" textRotation="0" wrapText="0" indent="0" justifyLastLine="0" shrinkToFit="0" readingOrder="0"/>
      <border diagonalUp="0" diagonalDown="0">
        <left style="thin">
          <color theme="2"/>
        </left>
        <right/>
        <top/>
        <bottom/>
      </border>
    </dxf>
    <dxf>
      <font>
        <strike val="0"/>
        <outline val="0"/>
        <shadow val="0"/>
        <u val="none"/>
        <vertAlign val="baseline"/>
        <sz val="14"/>
        <color theme="1"/>
        <name val="Segoe UI Semibold"/>
        <family val="2"/>
        <scheme val="none"/>
      </font>
      <fill>
        <patternFill patternType="solid">
          <fgColor indexed="64"/>
          <bgColor rgb="FFF3F5FB"/>
        </patternFill>
      </fill>
      <alignment horizontal="center" vertical="center" textRotation="0" wrapText="0" indent="0" justifyLastLine="0" shrinkToFit="0" readingOrder="0"/>
      <border diagonalUp="0" diagonalDown="0" outline="0">
        <left style="thin">
          <color theme="2"/>
        </left>
        <right/>
      </border>
    </dxf>
    <dxf>
      <font>
        <strike val="0"/>
        <outline val="0"/>
        <shadow val="0"/>
        <u val="none"/>
        <vertAlign val="baseline"/>
        <sz val="11"/>
        <color theme="1"/>
        <name val="Segoe UI Semibold"/>
        <family val="2"/>
        <scheme val="none"/>
      </font>
      <fill>
        <patternFill patternType="solid">
          <fgColor indexed="64"/>
          <bgColor rgb="FFF3F5FB"/>
        </patternFill>
      </fill>
      <alignment horizontal="center" vertical="center" textRotation="0" wrapText="0" indent="0" justifyLastLine="0" shrinkToFit="0" readingOrder="0"/>
      <border outline="0">
        <right style="thin">
          <color theme="2"/>
        </right>
      </border>
    </dxf>
    <dxf>
      <font>
        <strike val="0"/>
        <outline val="0"/>
        <shadow val="0"/>
        <u val="none"/>
        <vertAlign val="baseline"/>
        <sz val="11"/>
        <color theme="1"/>
        <name val="Segoe UI Semibold"/>
        <family val="2"/>
        <scheme val="none"/>
      </font>
      <fill>
        <patternFill patternType="solid">
          <fgColor indexed="64"/>
          <bgColor rgb="FFF3F5FB"/>
        </patternFill>
      </fill>
      <alignment horizontal="center" vertical="center" textRotation="0" wrapText="0" indent="0" justifyLastLine="0" shrinkToFit="0" readingOrder="0"/>
      <border diagonalUp="0" diagonalDown="0" outline="0">
        <left style="thin">
          <color theme="4" tint="0.59999389629810485"/>
        </left>
        <right style="thin">
          <color theme="2"/>
        </right>
      </border>
    </dxf>
    <dxf>
      <font>
        <strike val="0"/>
        <outline val="0"/>
        <shadow val="0"/>
        <u val="none"/>
        <vertAlign val="baseline"/>
        <sz val="11"/>
        <color theme="1"/>
        <name val="Segoe UI Semibold"/>
        <family val="2"/>
        <scheme val="none"/>
      </font>
      <fill>
        <patternFill patternType="solid">
          <fgColor indexed="64"/>
          <bgColor rgb="FFF3F5FB"/>
        </patternFill>
      </fill>
      <alignment horizontal="center" vertical="center" textRotation="0" wrapText="0" indent="0" justifyLastLine="0" shrinkToFit="0" readingOrder="0"/>
    </dxf>
    <dxf>
      <border>
        <bottom style="thin">
          <color theme="2"/>
        </bottom>
      </border>
    </dxf>
    <dxf>
      <font>
        <b/>
        <strike val="0"/>
        <outline val="0"/>
        <shadow val="0"/>
        <u val="none"/>
        <vertAlign val="baseline"/>
        <sz val="12"/>
        <color theme="1" tint="0.249977111117893"/>
        <name val="Segoe UI Light"/>
        <family val="2"/>
        <scheme val="none"/>
      </font>
      <fill>
        <patternFill patternType="solid">
          <fgColor indexed="64"/>
          <bgColor rgb="FFF3F5FB"/>
        </patternFill>
      </fill>
      <alignment horizontal="center" vertical="center" textRotation="0" wrapText="0" indent="0" justifyLastLine="0" shrinkToFit="0" readingOrder="0"/>
    </dxf>
    <dxf>
      <font>
        <b/>
        <strike val="0"/>
        <outline val="0"/>
        <shadow val="0"/>
        <u val="none"/>
        <vertAlign val="baseline"/>
        <sz val="14"/>
        <color theme="1" tint="0.249977111117893"/>
        <name val="Segoe UI Semibold"/>
        <family val="2"/>
        <scheme val="none"/>
      </font>
      <numFmt numFmtId="3" formatCode="#,##0"/>
      <fill>
        <patternFill patternType="solid">
          <fgColor indexed="64"/>
          <bgColor rgb="FFF3F5FB"/>
        </patternFill>
      </fill>
      <alignment horizontal="center" vertical="center" textRotation="0" wrapText="0" indent="0" justifyLastLine="0" shrinkToFit="0" readingOrder="0"/>
      <border diagonalUp="0" diagonalDown="0">
        <left/>
        <right style="thin">
          <color theme="2"/>
        </right>
        <top style="thin">
          <color theme="2"/>
        </top>
        <bottom style="thin">
          <color theme="2"/>
        </bottom>
        <vertical/>
        <horizontal/>
      </border>
    </dxf>
    <dxf>
      <font>
        <b/>
        <strike val="0"/>
        <outline val="0"/>
        <shadow val="0"/>
        <u val="none"/>
        <vertAlign val="baseline"/>
        <sz val="14"/>
        <color theme="1" tint="0.249977111117893"/>
        <name val="Segoe UI Semibold"/>
        <family val="2"/>
        <scheme val="none"/>
      </font>
      <numFmt numFmtId="3" formatCode="#,##0"/>
      <fill>
        <patternFill patternType="solid">
          <fgColor indexed="64"/>
          <bgColor rgb="FFF3F5FB"/>
        </patternFill>
      </fill>
      <alignment horizontal="center" vertical="center" textRotation="0" wrapText="0" indent="0" justifyLastLine="0" shrinkToFit="0" readingOrder="0"/>
      <border diagonalUp="0" diagonalDown="0">
        <left/>
        <right style="thin">
          <color theme="2"/>
        </right>
        <top style="thin">
          <color theme="2"/>
        </top>
        <bottom style="thin">
          <color theme="2"/>
        </bottom>
        <vertical/>
        <horizontal/>
      </border>
    </dxf>
    <dxf>
      <font>
        <strike val="0"/>
        <outline val="0"/>
        <shadow val="0"/>
        <u val="none"/>
        <vertAlign val="baseline"/>
        <sz val="14"/>
        <color theme="1"/>
        <name val="Segoe UI Semibold"/>
        <family val="2"/>
        <scheme val="none"/>
      </font>
      <fill>
        <patternFill patternType="solid">
          <fgColor indexed="64"/>
          <bgColor rgb="FFF3F5FB"/>
        </patternFill>
      </fill>
      <alignment horizontal="center" vertical="center" textRotation="0" wrapText="0" indent="0" justifyLastLine="0" shrinkToFit="0" readingOrder="0"/>
      <border diagonalUp="0" diagonalDown="0" outline="0">
        <left style="thin">
          <color theme="2"/>
        </left>
        <right/>
      </border>
    </dxf>
    <dxf>
      <font>
        <strike val="0"/>
        <outline val="0"/>
        <shadow val="0"/>
        <u val="none"/>
        <vertAlign val="baseline"/>
        <sz val="11"/>
        <color theme="1"/>
        <name val="Segoe UI Semibold"/>
        <family val="2"/>
        <scheme val="none"/>
      </font>
      <fill>
        <patternFill patternType="solid">
          <fgColor indexed="64"/>
          <bgColor rgb="FFF3F5FB"/>
        </patternFill>
      </fill>
      <alignment horizontal="center" vertical="center" textRotation="0" wrapText="0" indent="0" justifyLastLine="0" shrinkToFit="0" readingOrder="0"/>
      <border outline="0">
        <right style="thin">
          <color theme="2"/>
        </right>
      </border>
    </dxf>
    <dxf>
      <font>
        <strike val="0"/>
        <outline val="0"/>
        <shadow val="0"/>
        <u val="none"/>
        <vertAlign val="baseline"/>
        <sz val="11"/>
        <color theme="1"/>
        <name val="Segoe UI Semibold"/>
        <family val="2"/>
        <scheme val="none"/>
      </font>
      <fill>
        <patternFill patternType="solid">
          <fgColor indexed="64"/>
          <bgColor rgb="FFF3F5FB"/>
        </patternFill>
      </fill>
      <alignment horizontal="center" vertical="center" textRotation="0" wrapText="0" indent="0" justifyLastLine="0" shrinkToFit="0" readingOrder="0"/>
      <border diagonalUp="0" diagonalDown="0" outline="0">
        <left style="thin">
          <color theme="4" tint="0.59999389629810485"/>
        </left>
        <right style="thin">
          <color theme="2"/>
        </right>
      </border>
    </dxf>
    <dxf>
      <font>
        <strike val="0"/>
        <outline val="0"/>
        <shadow val="0"/>
        <u val="none"/>
        <vertAlign val="baseline"/>
        <sz val="11"/>
        <color theme="1"/>
        <name val="Segoe UI Semibold"/>
        <family val="2"/>
        <scheme val="none"/>
      </font>
      <fill>
        <patternFill patternType="solid">
          <fgColor indexed="64"/>
          <bgColor rgb="FFF3F5FB"/>
        </patternFill>
      </fill>
      <alignment horizontal="center" vertical="center" textRotation="0" wrapText="0" indent="0" justifyLastLine="0" shrinkToFit="0" readingOrder="0"/>
    </dxf>
    <dxf>
      <border>
        <bottom style="thin">
          <color theme="2"/>
        </bottom>
      </border>
    </dxf>
    <dxf>
      <font>
        <b/>
        <strike val="0"/>
        <outline val="0"/>
        <shadow val="0"/>
        <u val="none"/>
        <vertAlign val="baseline"/>
        <sz val="12"/>
        <color theme="1" tint="0.249977111117893"/>
        <name val="Segoe UI Light"/>
        <family val="2"/>
        <scheme val="none"/>
      </font>
      <fill>
        <patternFill patternType="solid">
          <fgColor indexed="64"/>
          <bgColor rgb="FFF3F5FB"/>
        </patternFill>
      </fill>
      <alignment horizontal="center" vertical="center" textRotation="0" wrapText="0" indent="0" justifyLastLine="0" shrinkToFit="0" readingOrder="0"/>
    </dxf>
    <dxf>
      <font>
        <b/>
        <strike val="0"/>
        <outline val="0"/>
        <shadow val="0"/>
        <u val="none"/>
        <vertAlign val="baseline"/>
        <sz val="14"/>
        <color theme="1" tint="0.249977111117893"/>
        <name val="Segoe UI Semibold"/>
        <family val="2"/>
        <scheme val="none"/>
      </font>
      <numFmt numFmtId="3" formatCode="#,##0"/>
      <fill>
        <patternFill patternType="solid">
          <fgColor indexed="64"/>
          <bgColor rgb="FFF3F5FB"/>
        </patternFill>
      </fill>
      <alignment horizontal="center" vertical="center" textRotation="0" wrapText="0" indent="0" justifyLastLine="0" shrinkToFit="0" readingOrder="0"/>
      <border diagonalUp="0" diagonalDown="0">
        <left/>
        <right style="thin">
          <color theme="2"/>
        </right>
        <top style="thin">
          <color theme="2"/>
        </top>
        <bottom style="thin">
          <color theme="2"/>
        </bottom>
        <vertical/>
        <horizontal/>
      </border>
    </dxf>
    <dxf>
      <font>
        <b/>
        <strike val="0"/>
        <outline val="0"/>
        <shadow val="0"/>
        <u val="none"/>
        <vertAlign val="baseline"/>
        <sz val="14"/>
        <color theme="1"/>
        <name val="Segoe UI Semibold"/>
        <family val="2"/>
        <scheme val="none"/>
      </font>
      <numFmt numFmtId="3" formatCode="#,##0"/>
      <fill>
        <patternFill patternType="solid">
          <fgColor indexed="64"/>
          <bgColor rgb="FFF3F5FB"/>
        </patternFill>
      </fill>
      <alignment horizontal="center" vertical="center" textRotation="0" wrapText="0" indent="0" justifyLastLine="0" shrinkToFit="0" readingOrder="0"/>
      <border diagonalUp="0" diagonalDown="0">
        <left style="thin">
          <color theme="2"/>
        </left>
        <right/>
        <top/>
        <bottom/>
      </border>
    </dxf>
    <dxf>
      <font>
        <strike val="0"/>
        <outline val="0"/>
        <shadow val="0"/>
        <u val="none"/>
        <vertAlign val="baseline"/>
        <sz val="14"/>
        <color theme="1"/>
        <name val="Segoe UI Semibold"/>
        <family val="2"/>
        <scheme val="none"/>
      </font>
      <fill>
        <patternFill patternType="solid">
          <fgColor indexed="64"/>
          <bgColor rgb="FFF3F5FB"/>
        </patternFill>
      </fill>
      <alignment horizontal="center" vertical="center" textRotation="0" wrapText="0" indent="0" justifyLastLine="0" shrinkToFit="0" readingOrder="0"/>
      <border diagonalUp="0" diagonalDown="0" outline="0">
        <left style="thin">
          <color theme="2"/>
        </left>
        <right/>
      </border>
    </dxf>
    <dxf>
      <font>
        <strike val="0"/>
        <outline val="0"/>
        <shadow val="0"/>
        <u val="none"/>
        <vertAlign val="baseline"/>
        <sz val="11"/>
        <color theme="1"/>
        <name val="Segoe UI Semibold"/>
        <family val="2"/>
        <scheme val="none"/>
      </font>
      <fill>
        <patternFill patternType="solid">
          <fgColor indexed="64"/>
          <bgColor rgb="FFF3F5FB"/>
        </patternFill>
      </fill>
      <alignment horizontal="center" vertical="center" textRotation="0" wrapText="0" indent="0" justifyLastLine="0" shrinkToFit="0" readingOrder="0"/>
      <border outline="0">
        <right style="thin">
          <color theme="2"/>
        </right>
      </border>
    </dxf>
    <dxf>
      <font>
        <strike val="0"/>
        <outline val="0"/>
        <shadow val="0"/>
        <u val="none"/>
        <vertAlign val="baseline"/>
        <sz val="11"/>
        <color theme="1"/>
        <name val="Segoe UI Semibold"/>
        <family val="2"/>
        <scheme val="none"/>
      </font>
      <fill>
        <patternFill patternType="solid">
          <fgColor indexed="64"/>
          <bgColor rgb="FFF3F5FB"/>
        </patternFill>
      </fill>
      <alignment horizontal="center" vertical="center" textRotation="0" wrapText="0" indent="0" justifyLastLine="0" shrinkToFit="0" readingOrder="0"/>
      <border diagonalUp="0" diagonalDown="0" outline="0">
        <left style="thin">
          <color theme="4" tint="0.59999389629810485"/>
        </left>
        <right style="thin">
          <color theme="2"/>
        </right>
      </border>
    </dxf>
    <dxf>
      <font>
        <strike val="0"/>
        <outline val="0"/>
        <shadow val="0"/>
        <u val="none"/>
        <vertAlign val="baseline"/>
        <sz val="11"/>
        <color theme="1"/>
        <name val="Segoe UI Semibold"/>
        <family val="2"/>
        <scheme val="none"/>
      </font>
      <fill>
        <patternFill patternType="solid">
          <fgColor indexed="64"/>
          <bgColor rgb="FFF3F5FB"/>
        </patternFill>
      </fill>
      <alignment horizontal="center" vertical="center" textRotation="0" wrapText="0" indent="0" justifyLastLine="0" shrinkToFit="0" readingOrder="0"/>
    </dxf>
    <dxf>
      <border>
        <bottom style="thin">
          <color theme="2"/>
        </bottom>
      </border>
    </dxf>
    <dxf>
      <font>
        <b/>
        <strike val="0"/>
        <outline val="0"/>
        <shadow val="0"/>
        <u val="none"/>
        <vertAlign val="baseline"/>
        <sz val="12"/>
        <color theme="1" tint="0.249977111117893"/>
        <name val="Segoe UI Light"/>
        <family val="2"/>
        <scheme val="none"/>
      </font>
      <fill>
        <patternFill patternType="solid">
          <fgColor indexed="64"/>
          <bgColor rgb="FFF3F5FB"/>
        </patternFill>
      </fill>
      <alignment horizontal="center" vertical="center" textRotation="0" wrapText="0" indent="0" justifyLastLine="0" shrinkToFit="0" readingOrder="0"/>
    </dxf>
    <dxf>
      <numFmt numFmtId="164" formatCode="_(* #,##0_);_(* \(#,##0\);_(* &quot;-&quot;??_);_(@_)"/>
    </dxf>
    <dxf>
      <numFmt numFmtId="164" formatCode="_(* #,##0_);_(* \(#,##0\);_(* &quot;-&quot;??_);_(@_)"/>
    </dxf>
    <dxf>
      <numFmt numFmtId="164" formatCode="_(* #,##0_);_(* \(#,##0\);_(* &quot;-&quot;??_);_(@_)"/>
    </dxf>
    <dxf>
      <numFmt numFmtId="164" formatCode="_(* #,##0_);_(* \(#,##0\);_(* &quot;-&quot;??_);_(@_)"/>
    </dxf>
    <dxf>
      <numFmt numFmtId="164" formatCode="_(* #,##0_);_(* \(#,##0\);_(* &quot;-&quot;??_);_(@_)"/>
    </dxf>
    <dxf>
      <numFmt numFmtId="5" formatCode="#,##0_);\(#,##0\)"/>
    </dxf>
    <dxf>
      <numFmt numFmtId="164" formatCode="_(* #,##0_);_(* \(#,##0\);_(* &quot;-&quot;??_);_(@_)"/>
    </dxf>
    <dxf>
      <numFmt numFmtId="164" formatCode="_(* #,##0_);_(* \(#,##0\);_(* &quot;-&quot;??_);_(@_)"/>
    </dxf>
    <dxf>
      <numFmt numFmtId="164" formatCode="_(* #,##0_);_(* \(#,##0\);_(* &quot;-&quot;??_);_(@_)"/>
    </dxf>
    <dxf>
      <numFmt numFmtId="164" formatCode="_(* #,##0_);_(* \(#,##0\);_(* &quot;-&quot;??_);_(@_)"/>
    </dxf>
    <dxf>
      <numFmt numFmtId="166" formatCode="m/d/yyyy"/>
    </dxf>
    <dxf>
      <font>
        <b val="0"/>
        <i val="0"/>
        <strike val="0"/>
        <condense val="0"/>
        <extend val="0"/>
        <outline val="0"/>
        <shadow val="0"/>
        <u val="none"/>
        <vertAlign val="baseline"/>
        <sz val="10"/>
        <color theme="1"/>
        <name val="Calibri"/>
        <family val="2"/>
        <scheme val="minor"/>
      </font>
      <alignment horizontal="center" vertical="center" textRotation="0" wrapText="0" indent="0" justifyLastLine="0" shrinkToFit="0" readingOrder="0"/>
    </dxf>
    <dxf>
      <font>
        <b val="0"/>
        <i val="0"/>
        <strike val="0"/>
        <condense val="0"/>
        <extend val="0"/>
        <outline val="0"/>
        <shadow val="0"/>
        <u val="none"/>
        <vertAlign val="baseline"/>
        <sz val="10"/>
        <color theme="1"/>
        <name val="Calibri"/>
        <family val="2"/>
        <scheme val="minor"/>
      </font>
      <alignment horizontal="center" vertical="center" textRotation="0" wrapText="0" indent="0" justifyLastLine="0" shrinkToFit="0" readingOrder="0"/>
    </dxf>
    <dxf>
      <font>
        <b val="0"/>
        <i val="0"/>
        <strike val="0"/>
        <condense val="0"/>
        <extend val="0"/>
        <outline val="0"/>
        <shadow val="0"/>
        <u val="none"/>
        <vertAlign val="baseline"/>
        <sz val="10"/>
        <color theme="1"/>
        <name val="Calibri"/>
        <family val="2"/>
        <scheme val="minor"/>
      </font>
      <alignment horizontal="center" vertical="center" textRotation="0" wrapText="0" indent="0" justifyLastLine="0" shrinkToFit="0" readingOrder="0"/>
    </dxf>
    <dxf>
      <font>
        <b val="0"/>
        <i val="0"/>
        <strike val="0"/>
        <condense val="0"/>
        <extend val="0"/>
        <outline val="0"/>
        <shadow val="0"/>
        <u val="none"/>
        <vertAlign val="baseline"/>
        <sz val="10"/>
        <color theme="1"/>
        <name val="Calibri"/>
        <family val="2"/>
        <scheme val="minor"/>
      </font>
      <alignment horizontal="center" vertical="center" textRotation="0" wrapText="0" indent="0" justifyLastLine="0" shrinkToFit="0" readingOrder="0"/>
    </dxf>
    <dxf>
      <border outline="0">
        <top style="thin">
          <color theme="1"/>
        </top>
      </border>
    </dxf>
    <dxf>
      <font>
        <b val="0"/>
        <i val="0"/>
        <strike val="0"/>
        <condense val="0"/>
        <extend val="0"/>
        <outline val="0"/>
        <shadow val="0"/>
        <u val="none"/>
        <vertAlign val="baseline"/>
        <sz val="10"/>
        <color theme="1"/>
        <name val="Calibri"/>
        <family val="2"/>
        <scheme val="minor"/>
      </font>
      <alignment horizontal="center" vertical="center" textRotation="0" wrapText="0" indent="0" justifyLastLine="0" shrinkToFit="0" readingOrder="0"/>
    </dxf>
    <dxf>
      <font>
        <b val="0"/>
        <i val="0"/>
        <strike val="0"/>
        <condense val="0"/>
        <extend val="0"/>
        <outline val="0"/>
        <shadow val="0"/>
        <u val="none"/>
        <vertAlign val="baseline"/>
        <sz val="10"/>
        <color theme="1"/>
        <name val="Calibri"/>
        <family val="2"/>
        <scheme val="minor"/>
      </font>
      <numFmt numFmtId="164" formatCode="_(* #,##0_);_(* \(#,##0\);_(* &quot;-&quot;??_);_(@_)"/>
      <fill>
        <patternFill patternType="solid">
          <fgColor indexed="64"/>
          <bgColor theme="0"/>
        </patternFill>
      </fill>
      <border diagonalUp="0" diagonalDown="0">
        <left style="thin">
          <color theme="1"/>
        </left>
        <right style="thin">
          <color theme="1"/>
        </right>
        <top style="thin">
          <color theme="1"/>
        </top>
        <bottom style="thin">
          <color theme="1"/>
        </bottom>
        <vertical/>
        <horizontal/>
      </border>
    </dxf>
    <dxf>
      <font>
        <b val="0"/>
        <i val="0"/>
        <strike val="0"/>
        <condense val="0"/>
        <extend val="0"/>
        <outline val="0"/>
        <shadow val="0"/>
        <u val="none"/>
        <vertAlign val="baseline"/>
        <sz val="10"/>
        <color theme="1"/>
        <name val="Calibri"/>
        <family val="2"/>
        <scheme val="minor"/>
      </font>
      <fill>
        <patternFill patternType="solid">
          <fgColor indexed="64"/>
          <bgColor theme="0"/>
        </patternFill>
      </fill>
      <border diagonalUp="0" diagonalDown="0">
        <left style="thin">
          <color theme="1"/>
        </left>
        <right style="thin">
          <color theme="1"/>
        </right>
        <top style="thin">
          <color theme="1"/>
        </top>
        <bottom style="thin">
          <color theme="1"/>
        </bottom>
        <vertical/>
        <horizontal/>
      </border>
    </dxf>
    <dxf>
      <font>
        <b val="0"/>
        <i val="0"/>
        <strike val="0"/>
        <condense val="0"/>
        <extend val="0"/>
        <outline val="0"/>
        <shadow val="0"/>
        <u val="none"/>
        <vertAlign val="baseline"/>
        <sz val="10"/>
        <color theme="1"/>
        <name val="Calibri"/>
        <family val="2"/>
        <scheme val="minor"/>
      </font>
      <numFmt numFmtId="165" formatCode="[$-409]mmm\-yy;@"/>
      <fill>
        <patternFill patternType="solid">
          <fgColor indexed="64"/>
          <bgColor theme="0"/>
        </patternFill>
      </fill>
      <alignment horizontal="center" vertical="center" textRotation="0" wrapText="0" indent="0" justifyLastLine="0" shrinkToFit="0" readingOrder="0"/>
      <border diagonalUp="0" diagonalDown="0">
        <left style="thin">
          <color theme="1"/>
        </left>
        <right style="thin">
          <color theme="1"/>
        </right>
        <top style="thin">
          <color theme="1"/>
        </top>
        <bottom style="thin">
          <color theme="1"/>
        </bottom>
        <vertical/>
        <horizontal/>
      </border>
    </dxf>
    <dxf>
      <border outline="0">
        <top style="thin">
          <color theme="1"/>
        </top>
      </border>
    </dxf>
    <dxf>
      <alignment horizontal="center" vertical="center" textRotation="0" wrapText="0" indent="0" justifyLastLine="0" shrinkToFit="0" readingOrder="0"/>
    </dxf>
    <dxf>
      <font>
        <b val="0"/>
        <i val="0"/>
        <strike val="0"/>
        <condense val="0"/>
        <extend val="0"/>
        <outline val="0"/>
        <shadow val="0"/>
        <u val="none"/>
        <vertAlign val="baseline"/>
        <sz val="11"/>
        <color theme="1"/>
        <name val="Calibri"/>
        <family val="2"/>
        <scheme val="minor"/>
      </font>
      <numFmt numFmtId="164" formatCode="_(* #,##0_);_(* \(#,##0\);_(* &quot;-&quot;??_);_(@_)"/>
      <alignment horizontal="center" vertical="center" textRotation="0" wrapText="0" indent="0" justifyLastLine="0" shrinkToFit="0" readingOrder="0"/>
    </dxf>
    <dxf>
      <numFmt numFmtId="164" formatCode="_(* #,##0_);_(* \(#,##0\);_(* &quot;-&quot;??_);_(@_)"/>
      <alignment horizontal="center" vertical="center" textRotation="0" wrapText="0" indent="0" justifyLastLine="0" shrinkToFit="0" readingOrder="0"/>
    </dxf>
    <dxf>
      <numFmt numFmtId="164" formatCode="_(* #,##0_);_(* \(#,##0\);_(* &quot;-&quot;??_);_(@_)"/>
      <alignment horizontal="center" vertical="center" textRotation="0" wrapText="0" indent="0" justifyLastLine="0" shrinkToFit="0" readingOrder="0"/>
    </dxf>
    <dxf>
      <numFmt numFmtId="164" formatCode="_(* #,##0_);_(* \(#,##0\);_(* &quot;-&quot;??_);_(@_)"/>
      <alignment horizontal="center" vertical="center" textRotation="0" wrapText="0" indent="0" justifyLastLine="0" shrinkToFit="0" readingOrder="0"/>
    </dxf>
    <dxf>
      <numFmt numFmtId="164" formatCode="_(* #,##0_);_(* \(#,##0\);_(* &quot;-&quot;??_);_(@_)"/>
      <alignment horizontal="center" vertical="center" textRotation="0" wrapText="0" indent="0" justifyLastLine="0" shrinkToFit="0" readingOrder="0"/>
    </dxf>
    <dxf>
      <numFmt numFmtId="164" formatCode="_(* #,##0_);_(* \(#,##0\);_(* &quot;-&quot;??_);_(@_)"/>
      <alignment horizontal="center" vertical="center" textRotation="0" wrapText="0" indent="0" justifyLastLine="0" shrinkToFit="0" readingOrder="0"/>
    </dxf>
    <dxf>
      <numFmt numFmtId="164" formatCode="_(* #,##0_);_(* \(#,##0\);_(* &quot;-&quot;??_);_(@_)"/>
      <alignment horizontal="center" vertical="center" textRotation="0" wrapText="0" indent="0" justifyLastLine="0" shrinkToFit="0" readingOrder="0"/>
    </dxf>
    <dxf>
      <font>
        <b val="0"/>
        <i val="0"/>
        <strike val="0"/>
        <condense val="0"/>
        <extend val="0"/>
        <outline val="0"/>
        <shadow val="0"/>
        <u val="none"/>
        <vertAlign val="baseline"/>
        <sz val="11"/>
        <color theme="1"/>
        <name val="Calibri"/>
        <family val="2"/>
        <scheme val="minor"/>
      </font>
      <numFmt numFmtId="164" formatCode="_(* #,##0_);_(* \(#,##0\);_(* &quot;-&quot;??_);_(@_)"/>
      <alignment horizontal="center" vertical="center" textRotation="0" wrapText="0" indent="0" justifyLastLine="0" shrinkToFit="0" readingOrder="0"/>
    </dxf>
    <dxf>
      <numFmt numFmtId="164" formatCode="_(* #,##0_);_(* \(#,##0\);_(* &quot;-&quot;??_);_(@_)"/>
      <alignment horizontal="center" vertical="center" textRotation="0" wrapText="0" indent="0" justifyLastLine="0" shrinkToFit="0" readingOrder="0"/>
    </dxf>
    <dxf>
      <font>
        <b val="0"/>
        <i val="0"/>
        <strike val="0"/>
        <condense val="0"/>
        <extend val="0"/>
        <outline val="0"/>
        <shadow val="0"/>
        <u val="none"/>
        <vertAlign val="baseline"/>
        <sz val="11"/>
        <color theme="1"/>
        <name val="Calibri"/>
        <family val="2"/>
        <scheme val="minor"/>
      </font>
      <numFmt numFmtId="164" formatCode="_(* #,##0_);_(* \(#,##0\);_(* &quot;-&quot;??_);_(@_)"/>
      <alignment horizontal="center" vertical="center" textRotation="0" wrapText="0" indent="0" justifyLastLine="0" shrinkToFit="0" readingOrder="0"/>
    </dxf>
    <dxf>
      <numFmt numFmtId="164" formatCode="_(* #,##0_);_(* \(#,##0\);_(* &quot;-&quot;??_);_(@_)"/>
      <alignment horizontal="center" vertical="center" textRotation="0" wrapText="0" indent="0" justifyLastLine="0" shrinkToFit="0" readingOrder="0"/>
    </dxf>
    <dxf>
      <numFmt numFmtId="164" formatCode="_(* #,##0_);_(* \(#,##0\);_(* &quot;-&quot;??_);_(@_)"/>
      <alignment horizontal="center" vertical="center" textRotation="0" wrapText="0" indent="0" justifyLastLine="0" shrinkToFit="0" readingOrder="0"/>
    </dxf>
    <dxf>
      <font>
        <b val="0"/>
        <i val="0"/>
        <strike val="0"/>
        <condense val="0"/>
        <extend val="0"/>
        <outline val="0"/>
        <shadow val="0"/>
        <u val="none"/>
        <vertAlign val="baseline"/>
        <sz val="11"/>
        <color theme="1"/>
        <name val="Calibri"/>
        <family val="2"/>
        <scheme val="minor"/>
      </font>
      <numFmt numFmtId="164" formatCode="_(* #,##0_);_(* \(#,##0\);_(* &quot;-&quot;??_);_(@_)"/>
    </dxf>
    <dxf>
      <numFmt numFmtId="164" formatCode="_(* #,##0_);_(* \(#,##0\);_(* &quot;-&quot;??_);_(@_)"/>
      <alignment horizontal="center" vertical="center" textRotation="0" wrapText="0" indent="0" justifyLastLine="0" shrinkToFit="0" readingOrder="0"/>
    </dxf>
    <dxf>
      <font>
        <b val="0"/>
        <i val="0"/>
        <strike val="0"/>
        <condense val="0"/>
        <extend val="0"/>
        <outline val="0"/>
        <shadow val="0"/>
        <u val="none"/>
        <vertAlign val="baseline"/>
        <sz val="11"/>
        <color theme="1"/>
        <name val="Calibri"/>
        <family val="2"/>
        <scheme val="minor"/>
      </font>
      <numFmt numFmtId="164" formatCode="_(* #,##0_);_(* \(#,##0\);_(* &quot;-&quot;??_);_(@_)"/>
      <alignment horizontal="center" vertical="center" textRotation="0" wrapText="0" indent="0" justifyLastLine="0" shrinkToFit="0" readingOrder="0"/>
    </dxf>
    <dxf>
      <font>
        <b val="0"/>
        <i val="0"/>
        <strike val="0"/>
        <condense val="0"/>
        <extend val="0"/>
        <outline val="0"/>
        <shadow val="0"/>
        <u val="none"/>
        <vertAlign val="baseline"/>
        <sz val="11"/>
        <color theme="1"/>
        <name val="Calibri"/>
        <family val="2"/>
        <scheme val="minor"/>
      </font>
      <numFmt numFmtId="164" formatCode="_(* #,##0_);_(* \(#,##0\);_(* &quot;-&quot;??_);_(@_)"/>
      <alignment horizontal="center" vertical="center" textRotation="0" wrapText="0" indent="0" justifyLastLine="0" shrinkToFit="0" readingOrder="0"/>
    </dxf>
    <dxf>
      <numFmt numFmtId="164" formatCode="_(* #,##0_);_(* \(#,##0\);_(* &quot;-&quot;??_);_(@_)"/>
      <alignment horizontal="center" vertical="center" textRotation="0" wrapText="0" indent="0" justifyLastLine="0" shrinkToFit="0" readingOrder="0"/>
    </dxf>
    <dxf>
      <numFmt numFmtId="164" formatCode="_(* #,##0_);_(* \(#,##0\);_(* &quot;-&quot;??_);_(@_)"/>
    </dxf>
    <dxf>
      <fill>
        <patternFill patternType="solid">
          <fgColor indexed="64"/>
          <bgColor theme="1"/>
        </patternFill>
      </fill>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font>
        <b val="0"/>
        <i val="0"/>
        <strike val="0"/>
        <condense val="0"/>
        <extend val="0"/>
        <outline val="0"/>
        <shadow val="0"/>
        <u val="none"/>
        <vertAlign val="baseline"/>
        <sz val="11"/>
        <color theme="1"/>
        <name val="Calibri"/>
        <family val="2"/>
        <scheme val="minor"/>
      </font>
      <numFmt numFmtId="164" formatCode="_(* #,##0_);_(* \(#,##0\);_(* &quot;-&quot;??_);_(@_)"/>
      <fill>
        <patternFill patternType="none">
          <fgColor indexed="64"/>
          <bgColor indexed="65"/>
        </patternFill>
      </fill>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numFmt numFmtId="166" formatCode="m/d/yyyy"/>
      <alignment horizontal="center" vertical="center" textRotation="0" wrapText="0" indent="0" justifyLastLine="0" shrinkToFit="0" readingOrder="0"/>
    </dxf>
    <dxf>
      <numFmt numFmtId="165" formatCode="[$-409]mmm\-yy;@"/>
      <alignment horizontal="center" vertical="center" textRotation="0" wrapText="0" indent="0" justifyLastLine="0" shrinkToFit="0" readingOrder="0"/>
    </dxf>
    <dxf>
      <fill>
        <patternFill patternType="solid">
          <fgColor indexed="64"/>
          <bgColor theme="1"/>
        </patternFill>
      </fill>
      <alignment horizontal="center" vertical="center" textRotation="0" wrapText="0" indent="0" justifyLastLine="0" shrinkToFit="0" readingOrder="0"/>
    </dxf>
    <dxf>
      <alignment horizontal="center" vertical="center" textRotation="0" wrapText="0" indent="0" justifyLastLine="0" shrinkToFit="0" readingOrder="0"/>
    </dxf>
    <dxf>
      <font>
        <b/>
        <color theme="1"/>
      </font>
      <border>
        <top style="thin">
          <color rgb="FF9954CC"/>
        </top>
        <bottom style="thin">
          <color rgb="FF9954CC"/>
        </bottom>
        <vertical/>
        <horizontal/>
      </border>
    </dxf>
    <dxf>
      <font>
        <color theme="1"/>
      </font>
      <fill>
        <patternFill patternType="solid">
          <fgColor auto="1"/>
        </patternFill>
      </fill>
      <border>
        <left style="thin">
          <color rgb="FF9954CC"/>
        </left>
        <right style="thin">
          <color rgb="FF9954CC"/>
        </right>
        <top style="thin">
          <color rgb="FF9954CC"/>
        </top>
        <bottom style="thin">
          <color rgb="FF9954CC"/>
        </bottom>
        <vertical/>
        <horizontal/>
      </border>
    </dxf>
    <dxf>
      <font>
        <b/>
        <color theme="1"/>
      </font>
      <border>
        <left style="thin">
          <color rgb="FFC00000"/>
        </left>
        <right style="thin">
          <color rgb="FFC00000"/>
        </right>
        <top style="thin">
          <color rgb="FFC00000"/>
        </top>
        <bottom style="thin">
          <color rgb="FFC00000"/>
        </bottom>
        <vertical/>
        <horizontal style="thin">
          <color rgb="FFC00000"/>
        </horizontal>
      </border>
    </dxf>
    <dxf>
      <font>
        <color theme="1"/>
      </font>
      <fill>
        <patternFill patternType="solid">
          <fgColor auto="1"/>
        </patternFill>
      </fill>
      <border>
        <left style="thin">
          <color rgb="FFC00000"/>
        </left>
        <right style="thin">
          <color rgb="FFC00000"/>
        </right>
        <top style="thin">
          <color rgb="FFC00000"/>
        </top>
        <bottom style="thin">
          <color rgb="FFC00000"/>
        </bottom>
        <vertical/>
        <horizontal/>
      </border>
    </dxf>
  </dxfs>
  <tableStyles count="2" defaultTableStyle="TableStyleMedium2" defaultPivotStyle="PivotStyleLight16">
    <tableStyle name="SlicerStyleLight Red" pivot="0" table="0" count="10" xr9:uid="{13605F3C-3003-4A92-9C5D-1923A95C769F}">
      <tableStyleElement type="wholeTable" dxfId="78"/>
      <tableStyleElement type="headerRow" dxfId="77"/>
    </tableStyle>
    <tableStyle name="SlicerStyleLight1 2" pivot="0" table="0" count="10" xr9:uid="{9C587EDF-0ED3-4B0D-8F5F-9BA844CC77EF}">
      <tableStyleElement type="wholeTable" dxfId="76"/>
      <tableStyleElement type="headerRow" dxfId="75"/>
    </tableStyle>
  </tableStyles>
  <colors>
    <mruColors>
      <color rgb="FFF3F5FB"/>
      <color rgb="FFF9FAFD"/>
      <color rgb="FFECF0F8"/>
      <color rgb="FF873AC0"/>
      <color rgb="FF934BC9"/>
      <color rgb="FFBD92DE"/>
      <color rgb="FFBC8FDD"/>
      <color rgb="FFF3F3F3"/>
      <color rgb="FFE6EBF6"/>
      <color rgb="FFFF9393"/>
    </mruColors>
  </colors>
  <extLst>
    <ext xmlns:x14="http://schemas.microsoft.com/office/spreadsheetml/2009/9/main" uri="{46F421CA-312F-682f-3DD2-61675219B42D}">
      <x14:dxfs count="16">
        <dxf>
          <font>
            <color theme="0"/>
          </font>
          <fill>
            <patternFill patternType="solid">
              <fgColor rgb="FFCFAFE7"/>
              <bgColor rgb="FFBC8FDD"/>
            </patternFill>
          </fill>
          <border>
            <left style="thin">
              <color rgb="FF999999"/>
            </left>
            <right style="thin">
              <color rgb="FF999999"/>
            </right>
            <top style="thin">
              <color rgb="FF999999"/>
            </top>
            <bottom style="thin">
              <color rgb="FF999999"/>
            </bottom>
            <vertical/>
            <horizontal/>
          </border>
        </dxf>
        <dxf>
          <font>
            <color rgb="FF000000"/>
          </font>
          <border>
            <left style="thin">
              <color rgb="FF999999"/>
            </left>
            <right style="thin">
              <color rgb="FF999999"/>
            </right>
            <top style="thin">
              <color rgb="FF999999"/>
            </top>
            <bottom style="thin">
              <color rgb="FF999999"/>
            </bottom>
            <vertical/>
            <horizontal/>
          </border>
        </dxf>
        <dxf>
          <font>
            <color theme="0"/>
          </font>
          <fill>
            <patternFill patternType="solid">
              <fgColor rgb="FF9954CC"/>
              <bgColor rgb="FF7030A0"/>
            </patternFill>
          </fill>
          <border>
            <left style="thin">
              <color rgb="FF9954CC"/>
            </left>
            <right style="thin">
              <color rgb="FF9954CC"/>
            </right>
            <top style="thin">
              <color rgb="FF9954CC"/>
            </top>
            <bottom style="thin">
              <color rgb="FF9954CC"/>
            </bottom>
            <vertical/>
            <horizontal/>
          </border>
        </dxf>
        <dxf>
          <font>
            <color rgb="FF000000"/>
          </font>
          <border>
            <left style="thin">
              <color rgb="FF999999"/>
            </left>
            <right style="thin">
              <color rgb="FF999999"/>
            </right>
            <top style="thin">
              <color rgb="FF999999"/>
            </top>
            <bottom style="thin">
              <color rgb="FF999999"/>
            </bottom>
            <vertical/>
            <horizontal/>
          </border>
        </dxf>
        <dxf>
          <font>
            <color theme="0"/>
          </font>
          <fill>
            <patternFill patternType="mediumGray">
              <fgColor rgb="FFBD92DE"/>
              <bgColor rgb="FFBD92DE"/>
            </patternFill>
          </fill>
        </dxf>
        <dxf>
          <font>
            <color theme="0"/>
          </font>
          <fill>
            <patternFill patternType="solid">
              <fgColor rgb="FF9954CC"/>
              <bgColor rgb="FF7030A0"/>
            </patternFill>
          </fill>
          <border>
            <left style="thin">
              <color rgb="FFCFAFE7"/>
            </left>
            <right style="thin">
              <color rgb="FFCFAFE7"/>
            </right>
            <top style="thin">
              <color rgb="FFCFAFE7"/>
            </top>
            <bottom style="thin">
              <color rgb="FFCFAFE7"/>
            </bottom>
            <vertical/>
            <horizontal/>
          </border>
        </dxf>
        <dxf>
          <font>
            <color rgb="FF828282"/>
          </font>
          <border>
            <left style="thin">
              <color rgb="FFE0E0E0"/>
            </left>
            <right style="thin">
              <color rgb="FFE0E0E0"/>
            </right>
            <top style="thin">
              <color rgb="FFE0E0E0"/>
            </top>
            <bottom style="thin">
              <color rgb="FFE0E0E0"/>
            </bottom>
            <vertical/>
            <horizontal/>
          </border>
        </dxf>
        <dxf>
          <font>
            <color rgb="FF000000"/>
          </font>
          <border>
            <left style="thin">
              <color rgb="FFCCCCCC"/>
            </left>
            <right style="thin">
              <color rgb="FFCCCCCC"/>
            </right>
            <top style="thin">
              <color rgb="FFCCCCCC"/>
            </top>
            <bottom style="thin">
              <color rgb="FFCCCCCC"/>
            </bottom>
            <vertical/>
            <horizontal/>
          </border>
        </dxf>
        <dxf>
          <font>
            <color theme="0"/>
          </font>
          <fill>
            <patternFill patternType="solid">
              <fgColor rgb="FFFF9393"/>
              <bgColor rgb="FFFF9393"/>
            </patternFill>
          </fill>
          <border>
            <left style="thin">
              <color rgb="FF999999"/>
            </left>
            <right style="thin">
              <color rgb="FF999999"/>
            </right>
            <top style="thin">
              <color rgb="FF999999"/>
            </top>
            <bottom style="thin">
              <color rgb="FF999999"/>
            </bottom>
            <vertical/>
            <horizontal/>
          </border>
        </dxf>
        <dxf>
          <font>
            <color rgb="FF000000"/>
          </font>
          <border>
            <left style="thin">
              <color rgb="FF999999"/>
            </left>
            <right style="thin">
              <color rgb="FF999999"/>
            </right>
            <top style="thin">
              <color rgb="FF999999"/>
            </top>
            <bottom style="thin">
              <color rgb="FF999999"/>
            </bottom>
            <vertical/>
            <horizontal/>
          </border>
        </dxf>
        <dxf>
          <font>
            <color theme="0"/>
          </font>
          <fill>
            <patternFill patternType="solid">
              <fgColor rgb="FFC00000"/>
              <bgColor rgb="FFC00000"/>
            </patternFill>
          </fill>
          <border>
            <left style="thin">
              <color rgb="FF9954CC"/>
            </left>
            <right style="thin">
              <color rgb="FF9954CC"/>
            </right>
            <top style="thin">
              <color rgb="FF9954CC"/>
            </top>
            <bottom style="thin">
              <color rgb="FF9954CC"/>
            </bottom>
            <vertical/>
            <horizontal/>
          </border>
        </dxf>
        <dxf>
          <font>
            <color rgb="FF000000"/>
          </font>
          <border>
            <left style="thin">
              <color rgb="FF999999"/>
            </left>
            <right style="thin">
              <color rgb="FF999999"/>
            </right>
            <top style="thin">
              <color rgb="FF999999"/>
            </top>
            <bottom style="thin">
              <color rgb="FF999999"/>
            </bottom>
            <vertical/>
            <horizontal/>
          </border>
        </dxf>
        <dxf>
          <font>
            <color theme="0"/>
          </font>
          <fill>
            <patternFill patternType="solid">
              <fgColor rgb="FFFF9393"/>
              <bgColor rgb="FFFF9393"/>
            </patternFill>
          </fill>
        </dxf>
        <dxf>
          <font>
            <color theme="0"/>
          </font>
          <fill>
            <patternFill patternType="solid">
              <fgColor rgb="FF9954CC"/>
              <bgColor rgb="FFC00000"/>
            </patternFill>
          </fill>
          <border>
            <left style="thin">
              <color theme="2"/>
            </left>
            <right style="thin">
              <color theme="2"/>
            </right>
            <top style="thin">
              <color theme="2"/>
            </top>
            <bottom style="thin">
              <color theme="2"/>
            </bottom>
            <vertical/>
            <horizontal/>
          </border>
        </dxf>
        <dxf>
          <font>
            <color rgb="FF828282"/>
          </font>
          <border>
            <left style="thin">
              <color rgb="FFE0E0E0"/>
            </left>
            <right style="thin">
              <color rgb="FFE0E0E0"/>
            </right>
            <top style="thin">
              <color rgb="FFE0E0E0"/>
            </top>
            <bottom style="thin">
              <color rgb="FFE0E0E0"/>
            </bottom>
            <vertical/>
            <horizontal/>
          </border>
        </dxf>
        <dxf>
          <font>
            <color rgb="FF000000"/>
          </font>
          <border>
            <left style="thin">
              <color rgb="FFCCCCCC"/>
            </left>
            <right style="thin">
              <color rgb="FFCCCCCC"/>
            </right>
            <top style="thin">
              <color rgb="FFCCCCCC"/>
            </top>
            <bottom style="thin">
              <color rgb="FFCCCCCC"/>
            </bottom>
            <vertical/>
            <horizontal/>
          </border>
        </dxf>
      </x14:dxfs>
    </ext>
    <ext xmlns:x14="http://schemas.microsoft.com/office/spreadsheetml/2009/9/main" uri="{EB79DEF2-80B8-43e5-95BD-54CBDDF9020C}">
      <x14:slicerStyles defaultSlicerStyle="SlicerStyleLight1">
        <x14:slicerStyle name="SlicerStyleLight Red">
          <x14:slicerStyleElements>
            <x14:slicerStyleElement type="unselectedItemWithData" dxfId="15"/>
            <x14:slicerStyleElement type="unselectedItemWithNoData" dxfId="14"/>
            <x14:slicerStyleElement type="selectedItemWithData" dxfId="13"/>
            <x14:slicerStyleElement type="selectedItemWithNoData" dxfId="12"/>
            <x14:slicerStyleElement type="hoveredUnselectedItemWithData" dxfId="11"/>
            <x14:slicerStyleElement type="hoveredSelectedItemWithData" dxfId="10"/>
            <x14:slicerStyleElement type="hoveredUnselectedItemWithNoData" dxfId="9"/>
            <x14:slicerStyleElement type="hoveredSelectedItemWithNoData" dxfId="8"/>
          </x14:slicerStyleElements>
        </x14:slicerStyle>
        <x14:slicerStyle name="SlicerStyleLight1 2">
          <x14:slicerStyleElements>
            <x14:slicerStyleElement type="unselectedItemWithData" dxfId="7"/>
            <x14:slicerStyleElement type="unselectedItemWithNoData" dxfId="6"/>
            <x14:slicerStyleElement type="selectedItemWithData" dxfId="5"/>
            <x14:slicerStyleElement type="selectedItemWithNoData" dxfId="4"/>
            <x14:slicerStyleElement type="hoveredUnselectedItemWithData" dxfId="3"/>
            <x14:slicerStyleElement type="hoveredSelectedItemWithData" dxfId="2"/>
            <x14:slicerStyleElement type="hoveredUnselectedItemWithNoData" dxfId="1"/>
            <x14:slicerStyleElement type="hoveredSelectedItemWithNo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7/relationships/slicerCache" Target="slicerCaches/slicerCache2.xml"/><Relationship Id="rId18" Type="http://schemas.microsoft.com/office/2007/relationships/slicerCache" Target="slicerCaches/slicerCache7.xml"/><Relationship Id="rId26" Type="http://schemas.openxmlformats.org/officeDocument/2006/relationships/customXml" Target="../customXml/item2.xml"/><Relationship Id="rId3" Type="http://schemas.openxmlformats.org/officeDocument/2006/relationships/worksheet" Target="worksheets/sheet3.xml"/><Relationship Id="rId21" Type="http://schemas.openxmlformats.org/officeDocument/2006/relationships/theme" Target="theme/theme1.xml"/><Relationship Id="rId7" Type="http://schemas.openxmlformats.org/officeDocument/2006/relationships/worksheet" Target="worksheets/sheet7.xml"/><Relationship Id="rId12" Type="http://schemas.microsoft.com/office/2007/relationships/slicerCache" Target="slicerCaches/slicerCache1.xml"/><Relationship Id="rId17" Type="http://schemas.microsoft.com/office/2007/relationships/slicerCache" Target="slicerCaches/slicerCache6.xml"/><Relationship Id="rId25" Type="http://schemas.openxmlformats.org/officeDocument/2006/relationships/customXml" Target="../customXml/item1.xml"/><Relationship Id="rId2" Type="http://schemas.openxmlformats.org/officeDocument/2006/relationships/worksheet" Target="worksheets/sheet2.xml"/><Relationship Id="rId16" Type="http://schemas.microsoft.com/office/2007/relationships/slicerCache" Target="slicerCaches/slicerCache5.xml"/><Relationship Id="rId20" Type="http://schemas.microsoft.com/office/2007/relationships/slicerCache" Target="slicerCaches/slicerCache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pivotCacheDefinition" Target="pivotCache/pivotCacheDefinition3.xml"/><Relationship Id="rId24" Type="http://schemas.openxmlformats.org/officeDocument/2006/relationships/calcChain" Target="calcChain.xml"/><Relationship Id="rId5" Type="http://schemas.openxmlformats.org/officeDocument/2006/relationships/worksheet" Target="worksheets/sheet5.xml"/><Relationship Id="rId15" Type="http://schemas.microsoft.com/office/2007/relationships/slicerCache" Target="slicerCaches/slicerCache4.xml"/><Relationship Id="rId23" Type="http://schemas.openxmlformats.org/officeDocument/2006/relationships/sharedStrings" Target="sharedStrings.xml"/><Relationship Id="rId10" Type="http://schemas.openxmlformats.org/officeDocument/2006/relationships/pivotCacheDefinition" Target="pivotCache/pivotCacheDefinition2.xml"/><Relationship Id="rId19" Type="http://schemas.microsoft.com/office/2007/relationships/slicerCache" Target="slicerCaches/slicerCache8.xml"/><Relationship Id="rId4" Type="http://schemas.openxmlformats.org/officeDocument/2006/relationships/worksheet" Target="worksheets/sheet4.xml"/><Relationship Id="rId9" Type="http://schemas.openxmlformats.org/officeDocument/2006/relationships/pivotCacheDefinition" Target="pivotCache/pivotCacheDefinition1.xml"/><Relationship Id="rId14" Type="http://schemas.microsoft.com/office/2007/relationships/slicerCache" Target="slicerCaches/slicerCache3.xml"/><Relationship Id="rId22" Type="http://schemas.openxmlformats.org/officeDocument/2006/relationships/styles" Target="styles.xml"/><Relationship Id="rId27" Type="http://schemas.openxmlformats.org/officeDocument/2006/relationships/customXml" Target="../customXml/item3.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[Sponsor - Facebook Data Report (Jan 2026).xlsm]Pivot!Pivot_EngVDO</c:name>
    <c:fmtId val="4"/>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Total Engagement and Video View</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pivotFmt>
      <c:pivotFmt>
        <c:idx val="1"/>
      </c:pivotFmt>
      <c:pivotFmt>
        <c:idx val="2"/>
      </c:pivotFmt>
      <c:pivotFmt>
        <c:idx val="3"/>
      </c:pivotFmt>
      <c:pivotFmt>
        <c:idx val="4"/>
        <c:spPr>
          <a:solidFill>
            <a:srgbClr val="00B05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5"/>
        <c:spPr>
          <a:solidFill>
            <a:schemeClr val="accent2">
              <a:lumMod val="40000"/>
              <a:lumOff val="6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stacked"/>
        <c:varyColors val="0"/>
        <c:ser>
          <c:idx val="0"/>
          <c:order val="0"/>
          <c:tx>
            <c:strRef>
              <c:f>Pivot!$I$3</c:f>
              <c:strCache>
                <c:ptCount val="1"/>
                <c:pt idx="0">
                  <c:v>Sum of Engagement</c:v>
                </c:pt>
              </c:strCache>
            </c:strRef>
          </c:tx>
          <c:spPr>
            <a:solidFill>
              <a:srgbClr val="00B050"/>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multiLvlStrRef>
              <c:f>Pivot!$H$4:$H$5</c:f>
              <c:multiLvlStrCache>
                <c:ptCount val="1"/>
                <c:lvl>
                  <c:pt idx="0">
                    <c:v>Jan</c:v>
                  </c:pt>
                </c:lvl>
                <c:lvl>
                  <c:pt idx="0">
                    <c:v>2026</c:v>
                  </c:pt>
                </c:lvl>
              </c:multiLvlStrCache>
            </c:multiLvlStrRef>
          </c:cat>
          <c:val>
            <c:numRef>
              <c:f>Pivot!$I$4:$I$5</c:f>
              <c:numCache>
                <c:formatCode>_(* #,##0_);_(* \(#,##0\);_(* "-"??_);_(@_)</c:formatCode>
                <c:ptCount val="1"/>
                <c:pt idx="0">
                  <c:v>40033</c:v>
                </c:pt>
              </c:numCache>
            </c:numRef>
          </c:val>
          <c:extLst>
            <c:ext xmlns:c16="http://schemas.microsoft.com/office/drawing/2014/chart" uri="{C3380CC4-5D6E-409C-BE32-E72D297353CC}">
              <c16:uniqueId val="{00000000-7906-4F7B-8C74-16F09490F85D}"/>
            </c:ext>
          </c:extLst>
        </c:ser>
        <c:ser>
          <c:idx val="1"/>
          <c:order val="1"/>
          <c:tx>
            <c:strRef>
              <c:f>Pivot!$J$3</c:f>
              <c:strCache>
                <c:ptCount val="1"/>
                <c:pt idx="0">
                  <c:v>Sum of 3 Sec Video Views</c:v>
                </c:pt>
              </c:strCache>
            </c:strRef>
          </c:tx>
          <c:spPr>
            <a:solidFill>
              <a:schemeClr val="accent2">
                <a:lumMod val="40000"/>
                <a:lumOff val="6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multiLvlStrRef>
              <c:f>Pivot!$H$4:$H$5</c:f>
              <c:multiLvlStrCache>
                <c:ptCount val="1"/>
                <c:lvl>
                  <c:pt idx="0">
                    <c:v>Jan</c:v>
                  </c:pt>
                </c:lvl>
                <c:lvl>
                  <c:pt idx="0">
                    <c:v>2026</c:v>
                  </c:pt>
                </c:lvl>
              </c:multiLvlStrCache>
            </c:multiLvlStrRef>
          </c:cat>
          <c:val>
            <c:numRef>
              <c:f>Pivot!$J$4:$J$5</c:f>
              <c:numCache>
                <c:formatCode>_(* #,##0_);_(* \(#,##0\);_(* "-"??_);_(@_)</c:formatCode>
                <c:ptCount val="1"/>
                <c:pt idx="0">
                  <c:v>181927</c:v>
                </c:pt>
              </c:numCache>
            </c:numRef>
          </c:val>
          <c:extLst>
            <c:ext xmlns:c16="http://schemas.microsoft.com/office/drawing/2014/chart" uri="{C3380CC4-5D6E-409C-BE32-E72D297353CC}">
              <c16:uniqueId val="{00000001-7906-4F7B-8C74-16F09490F85D}"/>
            </c:ext>
          </c:extLst>
        </c:ser>
        <c:dLbls>
          <c:showLegendKey val="0"/>
          <c:showVal val="1"/>
          <c:showCatName val="0"/>
          <c:showSerName val="0"/>
          <c:showPercent val="0"/>
          <c:showBubbleSize val="0"/>
        </c:dLbls>
        <c:gapWidth val="75"/>
        <c:overlap val="100"/>
        <c:axId val="1275639280"/>
        <c:axId val="410569520"/>
      </c:barChart>
      <c:catAx>
        <c:axId val="127563928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10569520"/>
        <c:crosses val="autoZero"/>
        <c:auto val="1"/>
        <c:lblAlgn val="ctr"/>
        <c:lblOffset val="100"/>
        <c:noMultiLvlLbl val="0"/>
      </c:catAx>
      <c:valAx>
        <c:axId val="410569520"/>
        <c:scaling>
          <c:orientation val="minMax"/>
        </c:scaling>
        <c:delete val="0"/>
        <c:axPos val="l"/>
        <c:numFmt formatCode="_(* #,##0_);_(* \(#,##0\);_(* &quot;-&quot;??_);_(@_)"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7563928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sVisible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[Sponsor - Facebook Data Report (Jan 2026).xlsm]Pivot!Pivot_Eng</c:name>
    <c:fmtId val="4"/>
  </c:pivotSource>
  <c:chart>
    <c:title>
      <c:tx>
        <c:rich>
          <a:bodyPr rot="0" spcFirstLastPara="1" vertOverflow="ellipsis" vert="horz" wrap="square" anchor="ctr" anchorCtr="1"/>
          <a:lstStyle/>
          <a:p>
            <a:pPr>
              <a:defRPr sz="1400" b="0" i="0" u="none" strike="noStrike" kern="1200" cap="none" spc="20" baseline="0">
                <a:solidFill>
                  <a:schemeClr val="dk1">
                    <a:lumMod val="50000"/>
                    <a:lumOff val="50000"/>
                  </a:schemeClr>
                </a:solidFill>
                <a:latin typeface="+mn-lt"/>
                <a:ea typeface="+mn-ea"/>
                <a:cs typeface="+mn-cs"/>
              </a:defRPr>
            </a:pPr>
            <a:r>
              <a:rPr lang="en-US"/>
              <a:t>Total Engagement</a:t>
            </a:r>
          </a:p>
        </c:rich>
      </c:tx>
      <c:overlay val="0"/>
      <c:spPr>
        <a:noFill/>
        <a:ln>
          <a:noFill/>
        </a:ln>
        <a:effectLst/>
      </c:spPr>
      <c:txPr>
        <a:bodyPr rot="0" spcFirstLastPara="1" vertOverflow="ellipsis" vert="horz" wrap="square" anchor="ctr" anchorCtr="1"/>
        <a:lstStyle/>
        <a:p>
          <a:pPr>
            <a:defRPr sz="1400" b="0" i="0" u="none" strike="noStrike" kern="1200" cap="none" spc="20" baseline="0">
              <a:solidFill>
                <a:schemeClr val="dk1">
                  <a:lumMod val="50000"/>
                  <a:lumOff val="50000"/>
                </a:schemeClr>
              </a:solidFill>
              <a:latin typeface="+mn-lt"/>
              <a:ea typeface="+mn-ea"/>
              <a:cs typeface="+mn-cs"/>
            </a:defRPr>
          </a:pPr>
          <a:endParaRPr lang="en-US"/>
        </a:p>
      </c:txPr>
    </c:title>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spPr>
          <a:ln w="22225" cap="rnd" cmpd="sng" algn="ctr">
            <a:solidFill>
              <a:srgbClr val="00B050"/>
            </a:solidFill>
            <a:round/>
          </a:ln>
          <a:effectLst/>
        </c:spPr>
        <c:marker>
          <c:symbol val="circle"/>
          <c:size val="4"/>
          <c:spPr>
            <a:solidFill>
              <a:srgbClr val="00B050"/>
            </a:solidFill>
            <a:ln w="9525" cap="flat" cmpd="sng" algn="ctr">
              <a:solidFill>
                <a:srgbClr val="00B050"/>
              </a:solidFill>
              <a:round/>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Pivot!$M$3</c:f>
              <c:strCache>
                <c:ptCount val="1"/>
                <c:pt idx="0">
                  <c:v>Total</c:v>
                </c:pt>
              </c:strCache>
            </c:strRef>
          </c:tx>
          <c:spPr>
            <a:ln w="22225" cap="rnd" cmpd="sng" algn="ctr">
              <a:solidFill>
                <a:srgbClr val="00B050"/>
              </a:solidFill>
              <a:round/>
            </a:ln>
            <a:effectLst/>
          </c:spPr>
          <c:marker>
            <c:symbol val="circle"/>
            <c:size val="4"/>
            <c:spPr>
              <a:solidFill>
                <a:srgbClr val="00B050"/>
              </a:solidFill>
              <a:ln w="9525" cap="flat" cmpd="sng" algn="ctr">
                <a:solidFill>
                  <a:srgbClr val="00B050"/>
                </a:solidFill>
                <a:round/>
              </a:ln>
              <a:effectLst/>
            </c:spPr>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dk1">
                          <a:lumMod val="35000"/>
                          <a:lumOff val="65000"/>
                        </a:schemeClr>
                      </a:solidFill>
                    </a:ln>
                    <a:effectLst/>
                  </c:spPr>
                </c15:leaderLines>
              </c:ext>
            </c:extLst>
          </c:dLbls>
          <c:cat>
            <c:multiLvlStrRef>
              <c:f>Pivot!$L$4:$L$5</c:f>
              <c:multiLvlStrCache>
                <c:ptCount val="1"/>
                <c:lvl>
                  <c:pt idx="0">
                    <c:v>Jan</c:v>
                  </c:pt>
                </c:lvl>
                <c:lvl>
                  <c:pt idx="0">
                    <c:v>2026</c:v>
                  </c:pt>
                </c:lvl>
              </c:multiLvlStrCache>
            </c:multiLvlStrRef>
          </c:cat>
          <c:val>
            <c:numRef>
              <c:f>Pivot!$M$4:$M$5</c:f>
              <c:numCache>
                <c:formatCode>_(* #,##0_);_(* \(#,##0\);_(* "-"??_);_(@_)</c:formatCode>
                <c:ptCount val="1"/>
                <c:pt idx="0">
                  <c:v>40033</c:v>
                </c:pt>
              </c:numCache>
            </c:numRef>
          </c:val>
          <c:smooth val="0"/>
          <c:extLst>
            <c:ext xmlns:c16="http://schemas.microsoft.com/office/drawing/2014/chart" uri="{C3380CC4-5D6E-409C-BE32-E72D297353CC}">
              <c16:uniqueId val="{00000000-F845-42CA-9D03-50412C31EFA6}"/>
            </c:ext>
          </c:extLst>
        </c:ser>
        <c:dLbls>
          <c:dLblPos val="t"/>
          <c:showLegendKey val="0"/>
          <c:showVal val="1"/>
          <c:showCatName val="0"/>
          <c:showSerName val="0"/>
          <c:showPercent val="0"/>
          <c:showBubbleSize val="0"/>
        </c:dLbls>
        <c:dropLines>
          <c:spPr>
            <a:ln w="9525" cap="flat" cmpd="sng" algn="ctr">
              <a:solidFill>
                <a:schemeClr val="dk1">
                  <a:lumMod val="35000"/>
                  <a:lumOff val="65000"/>
                  <a:alpha val="33000"/>
                </a:schemeClr>
              </a:solidFill>
              <a:round/>
            </a:ln>
            <a:effectLst/>
          </c:spPr>
        </c:dropLines>
        <c:marker val="1"/>
        <c:smooth val="0"/>
        <c:axId val="866004479"/>
        <c:axId val="805234895"/>
      </c:lineChart>
      <c:catAx>
        <c:axId val="866004479"/>
        <c:scaling>
          <c:orientation val="minMax"/>
        </c:scaling>
        <c:delete val="0"/>
        <c:axPos val="b"/>
        <c:numFmt formatCode="General" sourceLinked="1"/>
        <c:majorTickMark val="none"/>
        <c:minorTickMark val="none"/>
        <c:tickLblPos val="nextTo"/>
        <c:spPr>
          <a:noFill/>
          <a:ln w="9525" cap="flat" cmpd="sng" algn="ctr">
            <a:solidFill>
              <a:schemeClr val="dk1">
                <a:lumMod val="15000"/>
                <a:lumOff val="85000"/>
              </a:schemeClr>
            </a:solidFill>
            <a:round/>
          </a:ln>
          <a:effectLst/>
        </c:spPr>
        <c:txPr>
          <a:bodyPr rot="-60000000" spcFirstLastPara="1" vertOverflow="ellipsis" vert="horz" wrap="square" anchor="ctr" anchorCtr="1"/>
          <a:lstStyle/>
          <a:p>
            <a:pPr>
              <a:defRPr sz="900" b="0" i="0" u="none" strike="noStrike" kern="1200" spc="20" baseline="0">
                <a:solidFill>
                  <a:schemeClr val="dk1">
                    <a:lumMod val="65000"/>
                    <a:lumOff val="35000"/>
                  </a:schemeClr>
                </a:solidFill>
                <a:latin typeface="+mn-lt"/>
                <a:ea typeface="+mn-ea"/>
                <a:cs typeface="+mn-cs"/>
              </a:defRPr>
            </a:pPr>
            <a:endParaRPr lang="en-US"/>
          </a:p>
        </c:txPr>
        <c:crossAx val="805234895"/>
        <c:crosses val="autoZero"/>
        <c:auto val="1"/>
        <c:lblAlgn val="ctr"/>
        <c:lblOffset val="100"/>
        <c:noMultiLvlLbl val="0"/>
      </c:catAx>
      <c:valAx>
        <c:axId val="805234895"/>
        <c:scaling>
          <c:orientation val="minMax"/>
        </c:scaling>
        <c:delete val="0"/>
        <c:axPos val="l"/>
        <c:numFmt formatCode="_(* #,##0_);_(* \(#,##0\);_(* &quot;-&quot;??_);_(@_)"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spc="20" baseline="0">
                <a:solidFill>
                  <a:schemeClr val="dk1">
                    <a:lumMod val="65000"/>
                    <a:lumOff val="35000"/>
                  </a:schemeClr>
                </a:solidFill>
                <a:latin typeface="+mn-lt"/>
                <a:ea typeface="+mn-ea"/>
                <a:cs typeface="+mn-cs"/>
              </a:defRPr>
            </a:pPr>
            <a:endParaRPr lang="en-US"/>
          </a:p>
        </c:txPr>
        <c:crossAx val="866004479"/>
        <c:crosses val="autoZero"/>
        <c:crossBetween val="between"/>
      </c:valAx>
      <c:spPr>
        <a:gradFill>
          <a:gsLst>
            <a:gs pos="100000">
              <a:schemeClr val="lt1">
                <a:lumMod val="95000"/>
              </a:schemeClr>
            </a:gs>
            <a:gs pos="0">
              <a:schemeClr val="lt1"/>
            </a:gs>
          </a:gsLst>
          <a:lin ang="5400000" scaled="0"/>
        </a:grad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dk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lt1"/>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[Sponsor - Facebook Data Report (Jan 2026).xlsm]Pivot!Pivot_VDOView</c:name>
    <c:fmtId val="6"/>
  </c:pivotSource>
  <c:chart>
    <c:title>
      <c:tx>
        <c:rich>
          <a:bodyPr rot="0" spcFirstLastPara="1" vertOverflow="ellipsis" vert="horz" wrap="square" anchor="ctr" anchorCtr="1"/>
          <a:lstStyle/>
          <a:p>
            <a:pPr>
              <a:defRPr sz="1400" b="0" i="0" u="none" strike="noStrike" kern="1200" cap="none" spc="20" baseline="0">
                <a:solidFill>
                  <a:schemeClr val="dk1">
                    <a:lumMod val="50000"/>
                    <a:lumOff val="50000"/>
                  </a:schemeClr>
                </a:solidFill>
                <a:latin typeface="+mn-lt"/>
                <a:ea typeface="+mn-ea"/>
                <a:cs typeface="+mn-cs"/>
              </a:defRPr>
            </a:pPr>
            <a:r>
              <a:rPr lang="en-US"/>
              <a:t>Total 3 Sec Video Views</a:t>
            </a:r>
          </a:p>
        </c:rich>
      </c:tx>
      <c:overlay val="0"/>
      <c:spPr>
        <a:noFill/>
        <a:ln>
          <a:noFill/>
        </a:ln>
        <a:effectLst/>
      </c:spPr>
      <c:txPr>
        <a:bodyPr rot="0" spcFirstLastPara="1" vertOverflow="ellipsis" vert="horz" wrap="square" anchor="ctr" anchorCtr="1"/>
        <a:lstStyle/>
        <a:p>
          <a:pPr>
            <a:defRPr sz="1400" b="0" i="0" u="none" strike="noStrike" kern="1200" cap="none" spc="20" baseline="0">
              <a:solidFill>
                <a:schemeClr val="dk1">
                  <a:lumMod val="50000"/>
                  <a:lumOff val="50000"/>
                </a:schemeClr>
              </a:solidFill>
              <a:latin typeface="+mn-lt"/>
              <a:ea typeface="+mn-ea"/>
              <a:cs typeface="+mn-cs"/>
            </a:defRPr>
          </a:pPr>
          <a:endParaRPr lang="en-US"/>
        </a:p>
      </c:txPr>
    </c:title>
    <c:autoTitleDeleted val="0"/>
    <c:pivotFmts>
      <c:pivotFmt>
        <c:idx val="0"/>
        <c:spPr>
          <a:gradFill rotWithShape="1">
            <a:gsLst>
              <a:gs pos="0">
                <a:schemeClr val="accent1">
                  <a:lumMod val="110000"/>
                  <a:satMod val="105000"/>
                  <a:tint val="67000"/>
                </a:schemeClr>
              </a:gs>
              <a:gs pos="50000">
                <a:schemeClr val="accent1">
                  <a:lumMod val="105000"/>
                  <a:satMod val="103000"/>
                  <a:tint val="73000"/>
                </a:schemeClr>
              </a:gs>
              <a:gs pos="100000">
                <a:schemeClr val="accent1">
                  <a:lumMod val="105000"/>
                  <a:satMod val="109000"/>
                  <a:tint val="81000"/>
                </a:schemeClr>
              </a:gs>
            </a:gsLst>
            <a:lin ang="5400000" scaled="0"/>
          </a:gradFill>
          <a:ln w="22225" cap="rnd" cmpd="sng" algn="ctr">
            <a:solidFill>
              <a:srgbClr val="C00000"/>
            </a:solidFill>
            <a:round/>
          </a:ln>
          <a:effectLst/>
        </c:spPr>
        <c:marker>
          <c:symbol val="circle"/>
          <c:size val="4"/>
          <c:spPr>
            <a:solidFill>
              <a:srgbClr val="C00000"/>
            </a:solidFill>
            <a:ln w="9525" cap="flat" cmpd="sng" algn="ctr">
              <a:solidFill>
                <a:srgbClr val="C00000"/>
              </a:solidFill>
              <a:round/>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t"/>
          <c:showLegendKey val="0"/>
          <c:showVal val="0"/>
          <c:showCatName val="0"/>
          <c:showSerName val="0"/>
          <c:showPercent val="0"/>
          <c:showBubbleSize val="0"/>
          <c:extLst>
            <c:ext xmlns:c15="http://schemas.microsoft.com/office/drawing/2012/chart" uri="{CE6537A1-D6FC-4f65-9D91-7224C49458BB}"/>
          </c:extLst>
        </c:dLbl>
      </c:pivotFmt>
      <c:pivotFmt>
        <c:idx val="1"/>
        <c:spPr>
          <a:gradFill rotWithShape="1">
            <a:gsLst>
              <a:gs pos="0">
                <a:schemeClr val="accent1">
                  <a:lumMod val="110000"/>
                  <a:satMod val="105000"/>
                  <a:tint val="67000"/>
                </a:schemeClr>
              </a:gs>
              <a:gs pos="50000">
                <a:schemeClr val="accent1">
                  <a:lumMod val="105000"/>
                  <a:satMod val="103000"/>
                  <a:tint val="73000"/>
                </a:schemeClr>
              </a:gs>
              <a:gs pos="100000">
                <a:schemeClr val="accent1">
                  <a:lumMod val="105000"/>
                  <a:satMod val="109000"/>
                  <a:tint val="81000"/>
                </a:schemeClr>
              </a:gs>
            </a:gsLst>
            <a:lin ang="5400000" scaled="0"/>
          </a:gradFill>
          <a:ln w="22225" cap="rnd" cmpd="sng" algn="ctr">
            <a:solidFill>
              <a:srgbClr val="C00000"/>
            </a:solidFill>
            <a:round/>
          </a:ln>
          <a:effectLst/>
        </c:spPr>
        <c:marker>
          <c:symbol val="circle"/>
          <c:size val="4"/>
          <c:spPr>
            <a:solidFill>
              <a:srgbClr val="C00000"/>
            </a:solidFill>
            <a:ln w="9525" cap="flat" cmpd="sng" algn="ctr">
              <a:solidFill>
                <a:srgbClr val="C00000"/>
              </a:solidFill>
              <a:round/>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ln w="22225" cap="rnd" cmpd="sng" algn="ctr">
            <a:solidFill>
              <a:srgbClr val="C00000"/>
            </a:solidFill>
            <a:round/>
          </a:ln>
          <a:effectLst/>
        </c:spPr>
        <c:marker>
          <c:symbol val="circle"/>
          <c:size val="4"/>
          <c:spPr>
            <a:solidFill>
              <a:srgbClr val="C00000"/>
            </a:solidFill>
            <a:ln w="9525" cap="flat" cmpd="sng" algn="ctr">
              <a:solidFill>
                <a:srgbClr val="C00000"/>
              </a:solidFill>
              <a:round/>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Pivot!$P$3</c:f>
              <c:strCache>
                <c:ptCount val="1"/>
                <c:pt idx="0">
                  <c:v>Total</c:v>
                </c:pt>
              </c:strCache>
            </c:strRef>
          </c:tx>
          <c:spPr>
            <a:ln w="22225" cap="rnd" cmpd="sng" algn="ctr">
              <a:solidFill>
                <a:srgbClr val="C00000"/>
              </a:solidFill>
              <a:round/>
            </a:ln>
            <a:effectLst/>
          </c:spPr>
          <c:marker>
            <c:symbol val="circle"/>
            <c:size val="4"/>
            <c:spPr>
              <a:solidFill>
                <a:srgbClr val="C00000"/>
              </a:solidFill>
              <a:ln w="9525" cap="flat" cmpd="sng" algn="ctr">
                <a:solidFill>
                  <a:srgbClr val="C00000"/>
                </a:solidFill>
                <a:round/>
              </a:ln>
              <a:effectLst/>
            </c:spPr>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dk1">
                          <a:lumMod val="35000"/>
                          <a:lumOff val="65000"/>
                        </a:schemeClr>
                      </a:solidFill>
                    </a:ln>
                    <a:effectLst/>
                  </c:spPr>
                </c15:leaderLines>
              </c:ext>
            </c:extLst>
          </c:dLbls>
          <c:cat>
            <c:multiLvlStrRef>
              <c:f>Pivot!$O$4:$O$5</c:f>
              <c:multiLvlStrCache>
                <c:ptCount val="1"/>
                <c:lvl>
                  <c:pt idx="0">
                    <c:v>Jan</c:v>
                  </c:pt>
                </c:lvl>
                <c:lvl>
                  <c:pt idx="0">
                    <c:v>2026</c:v>
                  </c:pt>
                </c:lvl>
              </c:multiLvlStrCache>
            </c:multiLvlStrRef>
          </c:cat>
          <c:val>
            <c:numRef>
              <c:f>Pivot!$P$4:$P$5</c:f>
              <c:numCache>
                <c:formatCode>_(* #,##0_);_(* \(#,##0\);_(* "-"??_);_(@_)</c:formatCode>
                <c:ptCount val="1"/>
                <c:pt idx="0">
                  <c:v>181927</c:v>
                </c:pt>
              </c:numCache>
            </c:numRef>
          </c:val>
          <c:smooth val="0"/>
          <c:extLst>
            <c:ext xmlns:c16="http://schemas.microsoft.com/office/drawing/2014/chart" uri="{C3380CC4-5D6E-409C-BE32-E72D297353CC}">
              <c16:uniqueId val="{00000000-837A-4182-AD78-83B56AC95B65}"/>
            </c:ext>
          </c:extLst>
        </c:ser>
        <c:dLbls>
          <c:dLblPos val="t"/>
          <c:showLegendKey val="0"/>
          <c:showVal val="1"/>
          <c:showCatName val="0"/>
          <c:showSerName val="0"/>
          <c:showPercent val="0"/>
          <c:showBubbleSize val="0"/>
        </c:dLbls>
        <c:dropLines>
          <c:spPr>
            <a:ln w="9525" cap="flat" cmpd="sng" algn="ctr">
              <a:solidFill>
                <a:schemeClr val="dk1">
                  <a:lumMod val="35000"/>
                  <a:lumOff val="65000"/>
                  <a:alpha val="33000"/>
                </a:schemeClr>
              </a:solidFill>
              <a:round/>
            </a:ln>
            <a:effectLst/>
          </c:spPr>
        </c:dropLines>
        <c:marker val="1"/>
        <c:smooth val="0"/>
        <c:axId val="865991951"/>
        <c:axId val="800430159"/>
      </c:lineChart>
      <c:catAx>
        <c:axId val="865991951"/>
        <c:scaling>
          <c:orientation val="minMax"/>
        </c:scaling>
        <c:delete val="0"/>
        <c:axPos val="b"/>
        <c:numFmt formatCode="General" sourceLinked="1"/>
        <c:majorTickMark val="none"/>
        <c:minorTickMark val="none"/>
        <c:tickLblPos val="nextTo"/>
        <c:spPr>
          <a:noFill/>
          <a:ln w="9525" cap="flat" cmpd="sng" algn="ctr">
            <a:solidFill>
              <a:schemeClr val="dk1">
                <a:lumMod val="15000"/>
                <a:lumOff val="85000"/>
              </a:schemeClr>
            </a:solidFill>
            <a:round/>
          </a:ln>
          <a:effectLst/>
        </c:spPr>
        <c:txPr>
          <a:bodyPr rot="-60000000" spcFirstLastPara="1" vertOverflow="ellipsis" vert="horz" wrap="square" anchor="ctr" anchorCtr="1"/>
          <a:lstStyle/>
          <a:p>
            <a:pPr>
              <a:defRPr sz="900" b="0" i="0" u="none" strike="noStrike" kern="1200" spc="20" baseline="0">
                <a:solidFill>
                  <a:schemeClr val="dk1">
                    <a:lumMod val="65000"/>
                    <a:lumOff val="35000"/>
                  </a:schemeClr>
                </a:solidFill>
                <a:latin typeface="+mn-lt"/>
                <a:ea typeface="+mn-ea"/>
                <a:cs typeface="+mn-cs"/>
              </a:defRPr>
            </a:pPr>
            <a:endParaRPr lang="en-US"/>
          </a:p>
        </c:txPr>
        <c:crossAx val="800430159"/>
        <c:crosses val="autoZero"/>
        <c:auto val="1"/>
        <c:lblAlgn val="ctr"/>
        <c:lblOffset val="100"/>
        <c:noMultiLvlLbl val="0"/>
      </c:catAx>
      <c:valAx>
        <c:axId val="800430159"/>
        <c:scaling>
          <c:orientation val="minMax"/>
        </c:scaling>
        <c:delete val="0"/>
        <c:axPos val="l"/>
        <c:numFmt formatCode="_(* #,##0_);_(* \(#,##0\);_(* &quot;-&quot;??_);_(@_)"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spc="20" baseline="0">
                <a:solidFill>
                  <a:schemeClr val="dk1">
                    <a:lumMod val="65000"/>
                    <a:lumOff val="35000"/>
                  </a:schemeClr>
                </a:solidFill>
                <a:latin typeface="+mn-lt"/>
                <a:ea typeface="+mn-ea"/>
                <a:cs typeface="+mn-cs"/>
              </a:defRPr>
            </a:pPr>
            <a:endParaRPr lang="en-US"/>
          </a:p>
        </c:txPr>
        <c:crossAx val="865991951"/>
        <c:crosses val="autoZero"/>
        <c:crossBetween val="between"/>
      </c:valAx>
      <c:spPr>
        <a:gradFill>
          <a:gsLst>
            <a:gs pos="100000">
              <a:schemeClr val="lt1">
                <a:lumMod val="95000"/>
              </a:schemeClr>
            </a:gs>
            <a:gs pos="0">
              <a:schemeClr val="lt1"/>
            </a:gs>
          </a:gsLst>
          <a:lin ang="5400000" scaled="0"/>
        </a:grad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dk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lt1"/>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[Sponsor - Facebook Data Report (Jan 2026).xlsm]Pivot!Pivot_Users Input</c:name>
    <c:fmtId val="3"/>
  </c:pivotSource>
  <c:chart>
    <c:title>
      <c:tx>
        <c:rich>
          <a:bodyPr rot="0" spcFirstLastPara="1" vertOverflow="ellipsis" vert="horz" wrap="square" anchor="ctr" anchorCtr="1"/>
          <a:lstStyle/>
          <a:p>
            <a:pPr>
              <a:defRPr sz="1600" b="1" i="0" u="none" strike="noStrike" kern="1200" cap="none" spc="0" normalizeH="0" baseline="0">
                <a:solidFill>
                  <a:schemeClr val="dk1">
                    <a:lumMod val="50000"/>
                    <a:lumOff val="50000"/>
                  </a:schemeClr>
                </a:solidFill>
                <a:latin typeface="+mj-lt"/>
                <a:ea typeface="+mj-ea"/>
                <a:cs typeface="+mj-cs"/>
              </a:defRPr>
            </a:pPr>
            <a:r>
              <a:rPr lang="en-US" b="0"/>
              <a:t>Total Users Input</a:t>
            </a:r>
          </a:p>
        </c:rich>
      </c:tx>
      <c:overlay val="0"/>
      <c:spPr>
        <a:noFill/>
        <a:ln>
          <a:noFill/>
        </a:ln>
        <a:effectLst/>
      </c:spPr>
      <c:txPr>
        <a:bodyPr rot="0" spcFirstLastPara="1" vertOverflow="ellipsis" vert="horz" wrap="square" anchor="ctr" anchorCtr="1"/>
        <a:lstStyle/>
        <a:p>
          <a:pPr>
            <a:defRPr sz="1600" b="1" i="0" u="none" strike="noStrike" kern="1200" cap="none" spc="0" normalizeH="0" baseline="0">
              <a:solidFill>
                <a:schemeClr val="dk1">
                  <a:lumMod val="50000"/>
                  <a:lumOff val="50000"/>
                </a:schemeClr>
              </a:solidFill>
              <a:latin typeface="+mj-lt"/>
              <a:ea typeface="+mj-ea"/>
              <a:cs typeface="+mj-cs"/>
            </a:defRPr>
          </a:pPr>
          <a:endParaRPr lang="en-US"/>
        </a:p>
      </c:txPr>
    </c:title>
    <c:autoTitleDeleted val="0"/>
    <c:pivotFmts>
      <c:pivotFmt>
        <c:idx val="0"/>
        <c:spPr>
          <a:solidFill>
            <a:srgbClr val="00B050"/>
          </a:solidFill>
          <a:ln>
            <a:noFill/>
          </a:ln>
          <a:effectLst/>
        </c:spPr>
        <c:marker>
          <c:symbol val="circle"/>
          <c:size val="6"/>
          <c:spPr>
            <a:solidFill>
              <a:schemeClr val="lt1"/>
            </a:solidFill>
            <a:ln w="15875">
              <a:solidFill>
                <a:schemeClr val="accent1"/>
              </a:solidFill>
              <a:round/>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solidFill>
            <a:srgbClr val="00B05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
        <c:spPr>
          <a:solidFill>
            <a:srgbClr val="00B05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36668665880133999"/>
          <c:y val="0.18300925925925926"/>
          <c:w val="0.58457955357037161"/>
          <c:h val="0.70959135316418775"/>
        </c:manualLayout>
      </c:layout>
      <c:barChart>
        <c:barDir val="bar"/>
        <c:grouping val="clustered"/>
        <c:varyColors val="0"/>
        <c:ser>
          <c:idx val="0"/>
          <c:order val="0"/>
          <c:tx>
            <c:strRef>
              <c:f>Pivot!$C$19</c:f>
              <c:strCache>
                <c:ptCount val="1"/>
                <c:pt idx="0">
                  <c:v>Total</c:v>
                </c:pt>
              </c:strCache>
            </c:strRef>
          </c:tx>
          <c:spPr>
            <a:solidFill>
              <a:srgbClr val="00B050"/>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dk1">
                          <a:lumMod val="35000"/>
                          <a:lumOff val="65000"/>
                        </a:schemeClr>
                      </a:solidFill>
                      <a:round/>
                    </a:ln>
                    <a:effectLst/>
                  </c:spPr>
                </c15:leaderLines>
              </c:ext>
            </c:extLst>
          </c:dLbls>
          <c:cat>
            <c:multiLvlStrRef>
              <c:f>Pivot!$B$20:$B$27</c:f>
              <c:multiLvlStrCache>
                <c:ptCount val="6"/>
                <c:lvl>
                  <c:pt idx="0">
                    <c:v>Shop_Location</c:v>
                  </c:pt>
                  <c:pt idx="1">
                    <c:v>Price</c:v>
                  </c:pt>
                  <c:pt idx="2">
                    <c:v>Dealer</c:v>
                  </c:pt>
                  <c:pt idx="3">
                    <c:v>Product</c:v>
                  </c:pt>
                  <c:pt idx="4">
                    <c:v>order</c:v>
                  </c:pt>
                  <c:pt idx="5">
                    <c:v>Campaign</c:v>
                  </c:pt>
                </c:lvl>
                <c:lvl>
                  <c:pt idx="0">
                    <c:v>Jan</c:v>
                  </c:pt>
                </c:lvl>
                <c:lvl>
                  <c:pt idx="0">
                    <c:v>2026</c:v>
                  </c:pt>
                </c:lvl>
              </c:multiLvlStrCache>
            </c:multiLvlStrRef>
          </c:cat>
          <c:val>
            <c:numRef>
              <c:f>Pivot!$C$20:$C$27</c:f>
              <c:numCache>
                <c:formatCode>General</c:formatCode>
                <c:ptCount val="6"/>
                <c:pt idx="0">
                  <c:v>0</c:v>
                </c:pt>
                <c:pt idx="1">
                  <c:v>0</c:v>
                </c:pt>
                <c:pt idx="2">
                  <c:v>0</c:v>
                </c:pt>
                <c:pt idx="3">
                  <c:v>0</c:v>
                </c:pt>
                <c:pt idx="4">
                  <c:v>2</c:v>
                </c:pt>
                <c:pt idx="5">
                  <c:v>28</c:v>
                </c:pt>
              </c:numCache>
            </c:numRef>
          </c:val>
          <c:extLst>
            <c:ext xmlns:c16="http://schemas.microsoft.com/office/drawing/2014/chart" uri="{C3380CC4-5D6E-409C-BE32-E72D297353CC}">
              <c16:uniqueId val="{00000000-AB21-4872-9390-5C57E849A059}"/>
            </c:ext>
          </c:extLst>
        </c:ser>
        <c:dLbls>
          <c:dLblPos val="outEnd"/>
          <c:showLegendKey val="0"/>
          <c:showVal val="1"/>
          <c:showCatName val="0"/>
          <c:showSerName val="0"/>
          <c:showPercent val="0"/>
          <c:showBubbleSize val="0"/>
        </c:dLbls>
        <c:gapWidth val="247"/>
        <c:axId val="552453311"/>
        <c:axId val="984618799"/>
      </c:barChart>
      <c:catAx>
        <c:axId val="552453311"/>
        <c:scaling>
          <c:orientation val="minMax"/>
        </c:scaling>
        <c:delete val="0"/>
        <c:axPos val="l"/>
        <c:majorGridlines>
          <c:spPr>
            <a:ln w="9525" cap="flat" cmpd="sng" algn="ctr">
              <a:solidFill>
                <a:schemeClr val="dk1">
                  <a:lumMod val="15000"/>
                  <a:lumOff val="85000"/>
                </a:schemeClr>
              </a:solidFill>
              <a:round/>
            </a:ln>
            <a:effectLst/>
          </c:spPr>
        </c:majorGridlines>
        <c:numFmt formatCode="General" sourceLinked="1"/>
        <c:majorTickMark val="out"/>
        <c:minorTickMark val="none"/>
        <c:tickLblPos val="nextTo"/>
        <c:spPr>
          <a:noFill/>
          <a:ln w="9525" cap="flat" cmpd="sng" algn="ctr">
            <a:solidFill>
              <a:schemeClr val="dk1">
                <a:lumMod val="15000"/>
                <a:lumOff val="85000"/>
              </a:schemeClr>
            </a:solidFill>
            <a:round/>
          </a:ln>
          <a:effectLst/>
        </c:spPr>
        <c:txPr>
          <a:bodyPr rot="-60000000" spcFirstLastPara="1" vertOverflow="ellipsis" vert="horz" wrap="square" anchor="ctr" anchorCtr="1"/>
          <a:lstStyle/>
          <a:p>
            <a:pPr>
              <a:defRPr sz="900" b="0" i="0" u="none" strike="noStrike" kern="1200" cap="none" spc="0" normalizeH="0" baseline="0">
                <a:solidFill>
                  <a:schemeClr val="dk1">
                    <a:lumMod val="65000"/>
                    <a:lumOff val="35000"/>
                  </a:schemeClr>
                </a:solidFill>
                <a:latin typeface="+mn-lt"/>
                <a:ea typeface="+mn-ea"/>
                <a:cs typeface="+mn-cs"/>
              </a:defRPr>
            </a:pPr>
            <a:endParaRPr lang="en-US"/>
          </a:p>
        </c:txPr>
        <c:crossAx val="984618799"/>
        <c:crosses val="autoZero"/>
        <c:auto val="1"/>
        <c:lblAlgn val="ctr"/>
        <c:lblOffset val="100"/>
        <c:noMultiLvlLbl val="0"/>
      </c:catAx>
      <c:valAx>
        <c:axId val="984618799"/>
        <c:scaling>
          <c:orientation val="minMax"/>
        </c:scaling>
        <c:delete val="0"/>
        <c:axPos val="b"/>
        <c:majorGridlines>
          <c:spPr>
            <a:ln w="9525" cap="flat" cmpd="sng" algn="ctr">
              <a:solidFill>
                <a:schemeClr val="dk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dk1">
                    <a:lumMod val="65000"/>
                    <a:lumOff val="35000"/>
                  </a:schemeClr>
                </a:solidFill>
                <a:latin typeface="+mn-lt"/>
                <a:ea typeface="+mn-ea"/>
                <a:cs typeface="+mn-cs"/>
              </a:defRPr>
            </a:pPr>
            <a:endParaRPr lang="en-US"/>
          </a:p>
        </c:txPr>
        <c:crossAx val="552453311"/>
        <c:crosses val="autoZero"/>
        <c:crossBetween val="between"/>
      </c:valAx>
      <c:spPr>
        <a:pattFill prst="ltDnDiag">
          <a:fgClr>
            <a:schemeClr val="dk1">
              <a:lumMod val="15000"/>
              <a:lumOff val="85000"/>
            </a:schemeClr>
          </a:fgClr>
          <a:bgClr>
            <a:schemeClr val="lt1"/>
          </a:bgClr>
        </a:patt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lt1"/>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sVisible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[Sponsor - Facebook Data Report (Jan 2026).xlsm]Pivot!Pivot_Competitor Follower</c:name>
    <c:fmtId val="4"/>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Competitor Follower</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
        <c:spPr>
          <a:solidFill>
            <a:srgbClr val="00B050"/>
          </a:solidFill>
          <a:ln>
            <a:noFill/>
          </a:ln>
          <a:effectLst/>
        </c:spPr>
        <c:marker>
          <c:symbol val="none"/>
        </c:marker>
        <c:dLbl>
          <c:idx val="0"/>
          <c:numFmt formatCode="#,##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Pivot!$I$19</c:f>
              <c:strCache>
                <c:ptCount val="1"/>
                <c:pt idx="0">
                  <c:v>Total</c:v>
                </c:pt>
              </c:strCache>
            </c:strRef>
          </c:tx>
          <c:spPr>
            <a:solidFill>
              <a:srgbClr val="00B050"/>
            </a:solidFill>
            <a:ln>
              <a:noFill/>
            </a:ln>
            <a:effectLst/>
          </c:spPr>
          <c:invertIfNegative val="0"/>
          <c:dLbls>
            <c:numFmt formatCode="#,##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Pivot!$H$20:$H$23</c:f>
              <c:strCache>
                <c:ptCount val="4"/>
                <c:pt idx="0">
                  <c:v>M-150</c:v>
                </c:pt>
                <c:pt idx="1">
                  <c:v>Sting Laos</c:v>
                </c:pt>
                <c:pt idx="2">
                  <c:v>CarabaoLaos ຄາຣາບາວລາວ</c:v>
                </c:pt>
                <c:pt idx="3">
                  <c:v>Sponsor ສະປອນເຊີ </c:v>
                </c:pt>
              </c:strCache>
            </c:strRef>
          </c:cat>
          <c:val>
            <c:numRef>
              <c:f>Pivot!$I$20:$I$23</c:f>
              <c:numCache>
                <c:formatCode>General</c:formatCode>
                <c:ptCount val="4"/>
                <c:pt idx="0">
                  <c:v>2100000</c:v>
                </c:pt>
                <c:pt idx="1">
                  <c:v>126000</c:v>
                </c:pt>
                <c:pt idx="2">
                  <c:v>0</c:v>
                </c:pt>
                <c:pt idx="3">
                  <c:v>52946</c:v>
                </c:pt>
              </c:numCache>
            </c:numRef>
          </c:val>
          <c:extLst>
            <c:ext xmlns:c16="http://schemas.microsoft.com/office/drawing/2014/chart" uri="{C3380CC4-5D6E-409C-BE32-E72D297353CC}">
              <c16:uniqueId val="{00000000-3BFD-4A25-8543-C126A9644A13}"/>
            </c:ext>
          </c:extLst>
        </c:ser>
        <c:dLbls>
          <c:dLblPos val="outEnd"/>
          <c:showLegendKey val="0"/>
          <c:showVal val="1"/>
          <c:showCatName val="0"/>
          <c:showSerName val="0"/>
          <c:showPercent val="0"/>
          <c:showBubbleSize val="0"/>
        </c:dLbls>
        <c:gapWidth val="75"/>
        <c:axId val="1231604127"/>
        <c:axId val="984613999"/>
      </c:barChart>
      <c:catAx>
        <c:axId val="1231604127"/>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84613999"/>
        <c:crosses val="autoZero"/>
        <c:auto val="1"/>
        <c:lblAlgn val="ctr"/>
        <c:lblOffset val="100"/>
        <c:noMultiLvlLbl val="0"/>
      </c:catAx>
      <c:valAx>
        <c:axId val="984613999"/>
        <c:scaling>
          <c:orientation val="minMax"/>
        </c:scaling>
        <c:delete val="0"/>
        <c:axPos val="l"/>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31604127"/>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[Sponsor - Facebook Data Report (Jan 2026).xlsm]Pivot!Pivot_Competitor Post</c:name>
    <c:fmtId val="6"/>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Competitor</a:t>
            </a:r>
            <a:r>
              <a:rPr lang="en-US" baseline="0"/>
              <a:t> Post</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
        <c:spPr>
          <a:solidFill>
            <a:srgbClr val="00B050"/>
          </a:solidFill>
          <a:ln>
            <a:noFill/>
          </a:ln>
          <a:effectLst/>
        </c:spPr>
        <c:marker>
          <c:symbol val="none"/>
        </c:marker>
        <c:dLbl>
          <c:idx val="0"/>
          <c:numFmt formatCode="#,##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Pivot!$M$19</c:f>
              <c:strCache>
                <c:ptCount val="1"/>
                <c:pt idx="0">
                  <c:v>Total</c:v>
                </c:pt>
              </c:strCache>
            </c:strRef>
          </c:tx>
          <c:spPr>
            <a:solidFill>
              <a:srgbClr val="00B050"/>
            </a:solidFill>
            <a:ln>
              <a:noFill/>
            </a:ln>
            <a:effectLst/>
          </c:spPr>
          <c:invertIfNegative val="0"/>
          <c:dLbls>
            <c:numFmt formatCode="#,##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Pivot!$L$20:$L$23</c:f>
              <c:strCache>
                <c:ptCount val="4"/>
                <c:pt idx="0">
                  <c:v>M-150</c:v>
                </c:pt>
                <c:pt idx="1">
                  <c:v>Sting Laos</c:v>
                </c:pt>
                <c:pt idx="2">
                  <c:v>CarabaoLaos ຄາຣາບາວລາວ</c:v>
                </c:pt>
                <c:pt idx="3">
                  <c:v>Sponsor ສະປອນເຊີ </c:v>
                </c:pt>
              </c:strCache>
            </c:strRef>
          </c:cat>
          <c:val>
            <c:numRef>
              <c:f>Pivot!$M$20:$M$23</c:f>
              <c:numCache>
                <c:formatCode>General</c:formatCode>
                <c:ptCount val="4"/>
                <c:pt idx="0">
                  <c:v>6</c:v>
                </c:pt>
                <c:pt idx="1">
                  <c:v>0</c:v>
                </c:pt>
                <c:pt idx="2">
                  <c:v>0</c:v>
                </c:pt>
                <c:pt idx="3">
                  <c:v>11</c:v>
                </c:pt>
              </c:numCache>
            </c:numRef>
          </c:val>
          <c:extLst>
            <c:ext xmlns:c16="http://schemas.microsoft.com/office/drawing/2014/chart" uri="{C3380CC4-5D6E-409C-BE32-E72D297353CC}">
              <c16:uniqueId val="{00000000-C078-4FAA-BA57-F41C9DDCC57A}"/>
            </c:ext>
          </c:extLst>
        </c:ser>
        <c:dLbls>
          <c:showLegendKey val="0"/>
          <c:showVal val="1"/>
          <c:showCatName val="0"/>
          <c:showSerName val="0"/>
          <c:showPercent val="0"/>
          <c:showBubbleSize val="0"/>
        </c:dLbls>
        <c:gapWidth val="75"/>
        <c:axId val="1034921103"/>
        <c:axId val="704133599"/>
      </c:barChart>
      <c:catAx>
        <c:axId val="1034921103"/>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04133599"/>
        <c:crosses val="autoZero"/>
        <c:auto val="1"/>
        <c:lblAlgn val="ctr"/>
        <c:lblOffset val="100"/>
        <c:noMultiLvlLbl val="0"/>
      </c:catAx>
      <c:valAx>
        <c:axId val="704133599"/>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34921103"/>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[Sponsor - Facebook Data Report (Jan 2026).xlsm]Pivot!Pivot_Page Visit</c:name>
    <c:fmtId val="3"/>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Page Visit</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Pivot!$P$19</c:f>
              <c:strCache>
                <c:ptCount val="1"/>
                <c:pt idx="0">
                  <c:v>Total</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multiLvlStrRef>
              <c:f>Pivot!$O$20:$O$21</c:f>
              <c:multiLvlStrCache>
                <c:ptCount val="1"/>
                <c:lvl>
                  <c:pt idx="0">
                    <c:v>Jan</c:v>
                  </c:pt>
                </c:lvl>
                <c:lvl>
                  <c:pt idx="0">
                    <c:v>2026</c:v>
                  </c:pt>
                </c:lvl>
              </c:multiLvlStrCache>
            </c:multiLvlStrRef>
          </c:cat>
          <c:val>
            <c:numRef>
              <c:f>Pivot!$P$20:$P$21</c:f>
              <c:numCache>
                <c:formatCode>_(* #,##0_);_(* \(#,##0\);_(* "-"??_);_(@_)</c:formatCode>
                <c:ptCount val="1"/>
                <c:pt idx="0">
                  <c:v>38895</c:v>
                </c:pt>
              </c:numCache>
            </c:numRef>
          </c:val>
          <c:extLst>
            <c:ext xmlns:c16="http://schemas.microsoft.com/office/drawing/2014/chart" uri="{C3380CC4-5D6E-409C-BE32-E72D297353CC}">
              <c16:uniqueId val="{00000000-8079-41F3-84E1-98BE47702031}"/>
            </c:ext>
          </c:extLst>
        </c:ser>
        <c:dLbls>
          <c:dLblPos val="outEnd"/>
          <c:showLegendKey val="0"/>
          <c:showVal val="1"/>
          <c:showCatName val="0"/>
          <c:showSerName val="0"/>
          <c:showPercent val="0"/>
          <c:showBubbleSize val="0"/>
        </c:dLbls>
        <c:gapWidth val="75"/>
        <c:overlap val="-25"/>
        <c:axId val="1475889919"/>
        <c:axId val="694901727"/>
      </c:barChart>
      <c:catAx>
        <c:axId val="1475889919"/>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94901727"/>
        <c:crosses val="autoZero"/>
        <c:auto val="1"/>
        <c:lblAlgn val="ctr"/>
        <c:lblOffset val="100"/>
        <c:noMultiLvlLbl val="0"/>
      </c:catAx>
      <c:valAx>
        <c:axId val="694901727"/>
        <c:scaling>
          <c:orientation val="minMax"/>
        </c:scaling>
        <c:delete val="0"/>
        <c:axPos val="l"/>
        <c:majorGridlines>
          <c:spPr>
            <a:ln w="9525" cap="flat" cmpd="sng" algn="ctr">
              <a:solidFill>
                <a:schemeClr val="tx1">
                  <a:lumMod val="15000"/>
                  <a:lumOff val="85000"/>
                </a:schemeClr>
              </a:solidFill>
              <a:round/>
            </a:ln>
            <a:effectLst/>
          </c:spPr>
        </c:majorGridlines>
        <c:numFmt formatCode="_(* #,##0_);_(* \(#,##0\);_(* &quot;-&quot;??_);_(@_)"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75889919"/>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[Sponsor - Facebook Data Report (Jan 2026).xlsm]Pivot!Pivot_Impression</c:name>
    <c:fmtId val="3"/>
  </c:pivotSource>
  <c:chart>
    <c:title>
      <c:tx>
        <c:rich>
          <a:bodyPr rot="0" spcFirstLastPara="1" vertOverflow="ellipsis" vert="horz" wrap="square" anchor="ctr" anchorCtr="1"/>
          <a:lstStyle/>
          <a:p>
            <a:pPr>
              <a:defRPr sz="1400" b="0" i="0" u="none" strike="noStrike" kern="1200" cap="none" spc="20" baseline="0">
                <a:solidFill>
                  <a:schemeClr val="dk1">
                    <a:lumMod val="50000"/>
                    <a:lumOff val="50000"/>
                  </a:schemeClr>
                </a:solidFill>
                <a:latin typeface="+mn-lt"/>
                <a:ea typeface="+mn-ea"/>
                <a:cs typeface="+mn-cs"/>
              </a:defRPr>
            </a:pPr>
            <a:r>
              <a:rPr lang="en-US"/>
              <a:t>Total Impression</a:t>
            </a:r>
          </a:p>
        </c:rich>
      </c:tx>
      <c:overlay val="0"/>
      <c:spPr>
        <a:noFill/>
        <a:ln>
          <a:noFill/>
        </a:ln>
        <a:effectLst/>
      </c:spPr>
      <c:txPr>
        <a:bodyPr rot="0" spcFirstLastPara="1" vertOverflow="ellipsis" vert="horz" wrap="square" anchor="ctr" anchorCtr="1"/>
        <a:lstStyle/>
        <a:p>
          <a:pPr>
            <a:defRPr sz="1400" b="0" i="0" u="none" strike="noStrike" kern="1200" cap="none" spc="20" baseline="0">
              <a:solidFill>
                <a:schemeClr val="dk1">
                  <a:lumMod val="50000"/>
                  <a:lumOff val="50000"/>
                </a:schemeClr>
              </a:solidFill>
              <a:latin typeface="+mn-lt"/>
              <a:ea typeface="+mn-ea"/>
              <a:cs typeface="+mn-cs"/>
            </a:defRPr>
          </a:pPr>
          <a:endParaRPr lang="en-US"/>
        </a:p>
      </c:txPr>
    </c:title>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spPr>
          <a:ln w="22225" cap="rnd" cmpd="sng" algn="ctr">
            <a:solidFill>
              <a:schemeClr val="accent2"/>
            </a:solidFill>
            <a:round/>
          </a:ln>
          <a:effectLst/>
        </c:spPr>
        <c:marker>
          <c:symbol val="circle"/>
          <c:size val="4"/>
          <c:spPr>
            <a:solidFill>
              <a:schemeClr val="accent2"/>
            </a:solidFill>
            <a:ln w="9525" cap="flat" cmpd="sng" algn="ctr">
              <a:solidFill>
                <a:schemeClr val="accent2"/>
              </a:solidFill>
              <a:round/>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Pivot!$C$3</c:f>
              <c:strCache>
                <c:ptCount val="1"/>
                <c:pt idx="0">
                  <c:v>Total</c:v>
                </c:pt>
              </c:strCache>
            </c:strRef>
          </c:tx>
          <c:spPr>
            <a:ln w="22225" cap="rnd" cmpd="sng" algn="ctr">
              <a:solidFill>
                <a:schemeClr val="accent2"/>
              </a:solidFill>
              <a:round/>
            </a:ln>
            <a:effectLst/>
          </c:spPr>
          <c:marker>
            <c:symbol val="circle"/>
            <c:size val="4"/>
            <c:spPr>
              <a:solidFill>
                <a:schemeClr val="accent2"/>
              </a:solidFill>
              <a:ln w="9525" cap="flat" cmpd="sng" algn="ctr">
                <a:solidFill>
                  <a:schemeClr val="accent2"/>
                </a:solidFill>
                <a:round/>
              </a:ln>
              <a:effectLst/>
            </c:spPr>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dk1">
                          <a:lumMod val="35000"/>
                          <a:lumOff val="65000"/>
                        </a:schemeClr>
                      </a:solidFill>
                    </a:ln>
                    <a:effectLst/>
                  </c:spPr>
                </c15:leaderLines>
              </c:ext>
            </c:extLst>
          </c:dLbls>
          <c:cat>
            <c:multiLvlStrRef>
              <c:f>Pivot!$B$4:$B$5</c:f>
              <c:multiLvlStrCache>
                <c:ptCount val="1"/>
                <c:lvl>
                  <c:pt idx="0">
                    <c:v>Jan</c:v>
                  </c:pt>
                </c:lvl>
                <c:lvl>
                  <c:pt idx="0">
                    <c:v>2026</c:v>
                  </c:pt>
                </c:lvl>
              </c:multiLvlStrCache>
            </c:multiLvlStrRef>
          </c:cat>
          <c:val>
            <c:numRef>
              <c:f>Pivot!$C$4:$C$5</c:f>
              <c:numCache>
                <c:formatCode>_(* #,##0_);_(* \(#,##0\);_(* "-"??_);_(@_)</c:formatCode>
                <c:ptCount val="1"/>
                <c:pt idx="0">
                  <c:v>3883193</c:v>
                </c:pt>
              </c:numCache>
            </c:numRef>
          </c:val>
          <c:smooth val="0"/>
          <c:extLst>
            <c:ext xmlns:c16="http://schemas.microsoft.com/office/drawing/2014/chart" uri="{C3380CC4-5D6E-409C-BE32-E72D297353CC}">
              <c16:uniqueId val="{00000000-26CD-4594-B845-29DB1E19ADD4}"/>
            </c:ext>
          </c:extLst>
        </c:ser>
        <c:dLbls>
          <c:dLblPos val="t"/>
          <c:showLegendKey val="0"/>
          <c:showVal val="1"/>
          <c:showCatName val="0"/>
          <c:showSerName val="0"/>
          <c:showPercent val="0"/>
          <c:showBubbleSize val="0"/>
        </c:dLbls>
        <c:dropLines>
          <c:spPr>
            <a:ln w="9525" cap="flat" cmpd="sng" algn="ctr">
              <a:solidFill>
                <a:schemeClr val="dk1">
                  <a:lumMod val="35000"/>
                  <a:lumOff val="65000"/>
                  <a:alpha val="33000"/>
                </a:schemeClr>
              </a:solidFill>
              <a:round/>
            </a:ln>
            <a:effectLst/>
          </c:spPr>
        </c:dropLines>
        <c:marker val="1"/>
        <c:smooth val="0"/>
        <c:axId val="935669359"/>
        <c:axId val="1266587967"/>
      </c:lineChart>
      <c:catAx>
        <c:axId val="935669359"/>
        <c:scaling>
          <c:orientation val="minMax"/>
        </c:scaling>
        <c:delete val="0"/>
        <c:axPos val="b"/>
        <c:numFmt formatCode="General" sourceLinked="1"/>
        <c:majorTickMark val="none"/>
        <c:minorTickMark val="none"/>
        <c:tickLblPos val="nextTo"/>
        <c:spPr>
          <a:noFill/>
          <a:ln w="9525" cap="flat" cmpd="sng" algn="ctr">
            <a:solidFill>
              <a:schemeClr val="dk1">
                <a:lumMod val="15000"/>
                <a:lumOff val="85000"/>
              </a:schemeClr>
            </a:solidFill>
            <a:round/>
          </a:ln>
          <a:effectLst/>
        </c:spPr>
        <c:txPr>
          <a:bodyPr rot="-60000000" spcFirstLastPara="1" vertOverflow="ellipsis" vert="horz" wrap="square" anchor="ctr" anchorCtr="1"/>
          <a:lstStyle/>
          <a:p>
            <a:pPr>
              <a:defRPr sz="900" b="0" i="0" u="none" strike="noStrike" kern="1200" spc="20" baseline="0">
                <a:solidFill>
                  <a:schemeClr val="dk1">
                    <a:lumMod val="65000"/>
                    <a:lumOff val="35000"/>
                  </a:schemeClr>
                </a:solidFill>
                <a:latin typeface="+mn-lt"/>
                <a:ea typeface="+mn-ea"/>
                <a:cs typeface="+mn-cs"/>
              </a:defRPr>
            </a:pPr>
            <a:endParaRPr lang="en-US"/>
          </a:p>
        </c:txPr>
        <c:crossAx val="1266587967"/>
        <c:crosses val="autoZero"/>
        <c:auto val="1"/>
        <c:lblAlgn val="ctr"/>
        <c:lblOffset val="100"/>
        <c:noMultiLvlLbl val="0"/>
      </c:catAx>
      <c:valAx>
        <c:axId val="1266587967"/>
        <c:scaling>
          <c:orientation val="minMax"/>
          <c:min val="0"/>
        </c:scaling>
        <c:delete val="0"/>
        <c:axPos val="l"/>
        <c:numFmt formatCode="_(* #,##0_);_(* \(#,##0\);_(* &quot;-&quot;??_);_(@_)"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spc="20" baseline="0">
                <a:solidFill>
                  <a:schemeClr val="dk1">
                    <a:lumMod val="65000"/>
                    <a:lumOff val="35000"/>
                  </a:schemeClr>
                </a:solidFill>
                <a:latin typeface="+mn-lt"/>
                <a:ea typeface="+mn-ea"/>
                <a:cs typeface="+mn-cs"/>
              </a:defRPr>
            </a:pPr>
            <a:endParaRPr lang="en-US"/>
          </a:p>
        </c:txPr>
        <c:crossAx val="935669359"/>
        <c:crosses val="autoZero"/>
        <c:crossBetween val="between"/>
      </c:valAx>
      <c:spPr>
        <a:gradFill>
          <a:gsLst>
            <a:gs pos="100000">
              <a:schemeClr val="lt1">
                <a:lumMod val="95000"/>
              </a:schemeClr>
            </a:gs>
            <a:gs pos="0">
              <a:schemeClr val="lt1"/>
            </a:gs>
          </a:gsLst>
          <a:lin ang="5400000" scaled="0"/>
        </a:grad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dk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lt1"/>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[Sponsor - Facebook Data Report (Jan 2026).xlsm]Pivot!Pivot_Reach</c:name>
    <c:fmtId val="3"/>
  </c:pivotSource>
  <c:chart>
    <c:title>
      <c:tx>
        <c:rich>
          <a:bodyPr rot="0" spcFirstLastPara="1" vertOverflow="ellipsis" vert="horz" wrap="square" anchor="ctr" anchorCtr="1"/>
          <a:lstStyle/>
          <a:p>
            <a:pPr>
              <a:defRPr sz="1400" b="0" i="0" u="none" strike="noStrike" kern="1200" cap="none" spc="20" baseline="0">
                <a:solidFill>
                  <a:schemeClr val="dk1">
                    <a:lumMod val="50000"/>
                    <a:lumOff val="50000"/>
                  </a:schemeClr>
                </a:solidFill>
                <a:latin typeface="+mn-lt"/>
                <a:ea typeface="+mn-ea"/>
                <a:cs typeface="+mn-cs"/>
              </a:defRPr>
            </a:pPr>
            <a:r>
              <a:rPr lang="en-US"/>
              <a:t>Total Reach</a:t>
            </a:r>
          </a:p>
        </c:rich>
      </c:tx>
      <c:overlay val="0"/>
      <c:spPr>
        <a:noFill/>
        <a:ln>
          <a:noFill/>
        </a:ln>
        <a:effectLst/>
      </c:spPr>
      <c:txPr>
        <a:bodyPr rot="0" spcFirstLastPara="1" vertOverflow="ellipsis" vert="horz" wrap="square" anchor="ctr" anchorCtr="1"/>
        <a:lstStyle/>
        <a:p>
          <a:pPr>
            <a:defRPr sz="1400" b="0" i="0" u="none" strike="noStrike" kern="1200" cap="none" spc="20" baseline="0">
              <a:solidFill>
                <a:schemeClr val="dk1">
                  <a:lumMod val="50000"/>
                  <a:lumOff val="50000"/>
                </a:schemeClr>
              </a:solidFill>
              <a:latin typeface="+mn-lt"/>
              <a:ea typeface="+mn-ea"/>
              <a:cs typeface="+mn-cs"/>
            </a:defRPr>
          </a:pPr>
          <a:endParaRPr lang="en-US"/>
        </a:p>
      </c:txPr>
    </c:title>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dLbl>
          <c:idx val="0"/>
          <c:dLblPos val="t"/>
          <c:showLegendKey val="0"/>
          <c:showVal val="1"/>
          <c:showCatName val="0"/>
          <c:showSerName val="0"/>
          <c:showPercent val="0"/>
          <c:showBubbleSize val="0"/>
          <c:extLst>
            <c:ext xmlns:c15="http://schemas.microsoft.com/office/drawing/2012/chart" uri="{CE6537A1-D6FC-4f65-9D91-7224C49458BB}"/>
          </c:extLst>
        </c:dLbl>
      </c:pivotFmt>
      <c:pivotFmt>
        <c:idx val="3"/>
        <c:spPr>
          <a:gradFill rotWithShape="1">
            <a:gsLst>
              <a:gs pos="0">
                <a:schemeClr val="accent1">
                  <a:lumMod val="110000"/>
                  <a:satMod val="105000"/>
                  <a:tint val="67000"/>
                </a:schemeClr>
              </a:gs>
              <a:gs pos="50000">
                <a:schemeClr val="accent1">
                  <a:lumMod val="105000"/>
                  <a:satMod val="103000"/>
                  <a:tint val="73000"/>
                </a:schemeClr>
              </a:gs>
              <a:gs pos="100000">
                <a:schemeClr val="accent1">
                  <a:lumMod val="105000"/>
                  <a:satMod val="109000"/>
                  <a:tint val="81000"/>
                </a:schemeClr>
              </a:gs>
            </a:gsLst>
            <a:lin ang="5400000" scaled="0"/>
          </a:gradFill>
          <a:ln w="22225" cap="rnd" cmpd="sng" algn="ctr">
            <a:solidFill>
              <a:srgbClr val="934BC9"/>
            </a:solidFill>
            <a:round/>
          </a:ln>
          <a:effectLst/>
        </c:spPr>
        <c:marker>
          <c:symbol val="circle"/>
          <c:size val="4"/>
          <c:spPr>
            <a:solidFill>
              <a:srgbClr val="934BC9"/>
            </a:solidFill>
            <a:ln w="9525" cap="flat" cmpd="sng" algn="ctr">
              <a:solidFill>
                <a:srgbClr val="934BC9"/>
              </a:solidFill>
              <a:round/>
            </a:ln>
            <a:effectLst/>
          </c:spPr>
        </c:marker>
        <c:dLbl>
          <c:idx val="0"/>
          <c:numFmt formatCode="#,##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4"/>
        <c:spPr>
          <a:ln w="22225" cap="rnd" cmpd="sng" algn="ctr">
            <a:solidFill>
              <a:srgbClr val="873AC0"/>
            </a:solidFill>
            <a:round/>
          </a:ln>
          <a:effectLst/>
        </c:spPr>
        <c:marker>
          <c:symbol val="circle"/>
          <c:size val="4"/>
          <c:spPr>
            <a:solidFill>
              <a:srgbClr val="873AC0"/>
            </a:solidFill>
            <a:ln w="9525" cap="flat" cmpd="sng" algn="ctr">
              <a:solidFill>
                <a:srgbClr val="873AC0"/>
              </a:solidFill>
              <a:round/>
            </a:ln>
            <a:effectLst/>
          </c:spPr>
        </c:marker>
        <c:dLbl>
          <c:idx val="0"/>
          <c:numFmt formatCode="#,##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15005300943997635"/>
          <c:y val="0.17059110992175433"/>
          <c:w val="0.8217263152488925"/>
          <c:h val="0.4309319698242477"/>
        </c:manualLayout>
      </c:layout>
      <c:lineChart>
        <c:grouping val="standard"/>
        <c:varyColors val="0"/>
        <c:ser>
          <c:idx val="0"/>
          <c:order val="0"/>
          <c:tx>
            <c:strRef>
              <c:f>Pivot!$F$3</c:f>
              <c:strCache>
                <c:ptCount val="1"/>
                <c:pt idx="0">
                  <c:v>Total</c:v>
                </c:pt>
              </c:strCache>
            </c:strRef>
          </c:tx>
          <c:spPr>
            <a:ln w="22225" cap="rnd" cmpd="sng" algn="ctr">
              <a:solidFill>
                <a:srgbClr val="873AC0"/>
              </a:solidFill>
              <a:round/>
            </a:ln>
            <a:effectLst/>
          </c:spPr>
          <c:marker>
            <c:symbol val="circle"/>
            <c:size val="4"/>
            <c:spPr>
              <a:solidFill>
                <a:srgbClr val="873AC0"/>
              </a:solidFill>
              <a:ln w="9525" cap="flat" cmpd="sng" algn="ctr">
                <a:solidFill>
                  <a:srgbClr val="873AC0"/>
                </a:solidFill>
                <a:round/>
              </a:ln>
              <a:effectLst/>
            </c:spPr>
          </c:marker>
          <c:dLbls>
            <c:numFmt formatCode="#,##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dk1">
                          <a:lumMod val="35000"/>
                          <a:lumOff val="65000"/>
                        </a:schemeClr>
                      </a:solidFill>
                    </a:ln>
                    <a:effectLst/>
                  </c:spPr>
                </c15:leaderLines>
              </c:ext>
            </c:extLst>
          </c:dLbls>
          <c:cat>
            <c:multiLvlStrRef>
              <c:f>Pivot!$E$4:$E$5</c:f>
              <c:multiLvlStrCache>
                <c:ptCount val="1"/>
                <c:lvl>
                  <c:pt idx="0">
                    <c:v>Jan</c:v>
                  </c:pt>
                </c:lvl>
                <c:lvl>
                  <c:pt idx="0">
                    <c:v>2026</c:v>
                  </c:pt>
                </c:lvl>
              </c:multiLvlStrCache>
            </c:multiLvlStrRef>
          </c:cat>
          <c:val>
            <c:numRef>
              <c:f>Pivot!$F$4:$F$5</c:f>
              <c:numCache>
                <c:formatCode>#,##0_);\(#,##0\)</c:formatCode>
                <c:ptCount val="1"/>
                <c:pt idx="0">
                  <c:v>1266300</c:v>
                </c:pt>
              </c:numCache>
            </c:numRef>
          </c:val>
          <c:smooth val="0"/>
          <c:extLst>
            <c:ext xmlns:c16="http://schemas.microsoft.com/office/drawing/2014/chart" uri="{C3380CC4-5D6E-409C-BE32-E72D297353CC}">
              <c16:uniqueId val="{00000000-93A3-4FC3-95DE-AC3679410513}"/>
            </c:ext>
          </c:extLst>
        </c:ser>
        <c:dLbls>
          <c:dLblPos val="t"/>
          <c:showLegendKey val="0"/>
          <c:showVal val="1"/>
          <c:showCatName val="0"/>
          <c:showSerName val="0"/>
          <c:showPercent val="0"/>
          <c:showBubbleSize val="0"/>
        </c:dLbls>
        <c:dropLines>
          <c:spPr>
            <a:ln w="9525" cap="flat" cmpd="sng" algn="ctr">
              <a:solidFill>
                <a:schemeClr val="dk1">
                  <a:lumMod val="35000"/>
                  <a:lumOff val="65000"/>
                  <a:alpha val="33000"/>
                </a:schemeClr>
              </a:solidFill>
              <a:round/>
            </a:ln>
            <a:effectLst/>
          </c:spPr>
        </c:dropLines>
        <c:marker val="1"/>
        <c:smooth val="0"/>
        <c:axId val="1041065967"/>
        <c:axId val="983207375"/>
      </c:lineChart>
      <c:catAx>
        <c:axId val="1041065967"/>
        <c:scaling>
          <c:orientation val="minMax"/>
        </c:scaling>
        <c:delete val="0"/>
        <c:axPos val="b"/>
        <c:numFmt formatCode="General" sourceLinked="1"/>
        <c:majorTickMark val="none"/>
        <c:minorTickMark val="none"/>
        <c:tickLblPos val="nextTo"/>
        <c:spPr>
          <a:noFill/>
          <a:ln w="9525" cap="flat" cmpd="sng" algn="ctr">
            <a:solidFill>
              <a:schemeClr val="dk1">
                <a:lumMod val="15000"/>
                <a:lumOff val="85000"/>
              </a:schemeClr>
            </a:solidFill>
            <a:round/>
          </a:ln>
          <a:effectLst/>
        </c:spPr>
        <c:txPr>
          <a:bodyPr rot="-60000000" spcFirstLastPara="1" vertOverflow="ellipsis" vert="horz" wrap="square" anchor="ctr" anchorCtr="1"/>
          <a:lstStyle/>
          <a:p>
            <a:pPr>
              <a:defRPr sz="900" b="0" i="0" u="none" strike="noStrike" kern="1200" spc="20" baseline="0">
                <a:solidFill>
                  <a:schemeClr val="dk1">
                    <a:lumMod val="65000"/>
                    <a:lumOff val="35000"/>
                  </a:schemeClr>
                </a:solidFill>
                <a:latin typeface="+mn-lt"/>
                <a:ea typeface="+mn-ea"/>
                <a:cs typeface="+mn-cs"/>
              </a:defRPr>
            </a:pPr>
            <a:endParaRPr lang="en-US"/>
          </a:p>
        </c:txPr>
        <c:crossAx val="983207375"/>
        <c:crosses val="autoZero"/>
        <c:auto val="1"/>
        <c:lblAlgn val="ctr"/>
        <c:lblOffset val="100"/>
        <c:noMultiLvlLbl val="0"/>
      </c:catAx>
      <c:valAx>
        <c:axId val="983207375"/>
        <c:scaling>
          <c:orientation val="minMax"/>
          <c:min val="0"/>
        </c:scaling>
        <c:delete val="0"/>
        <c:axPos val="l"/>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spc="20" baseline="0">
                <a:solidFill>
                  <a:schemeClr val="dk1">
                    <a:lumMod val="65000"/>
                    <a:lumOff val="35000"/>
                  </a:schemeClr>
                </a:solidFill>
                <a:latin typeface="+mn-lt"/>
                <a:ea typeface="+mn-ea"/>
                <a:cs typeface="+mn-cs"/>
              </a:defRPr>
            </a:pPr>
            <a:endParaRPr lang="en-US"/>
          </a:p>
        </c:txPr>
        <c:crossAx val="1041065967"/>
        <c:crosses val="autoZero"/>
        <c:crossBetween val="between"/>
      </c:valAx>
      <c:spPr>
        <a:gradFill>
          <a:gsLst>
            <a:gs pos="100000">
              <a:schemeClr val="lt1">
                <a:lumMod val="95000"/>
              </a:schemeClr>
            </a:gs>
            <a:gs pos="0">
              <a:schemeClr val="lt1"/>
            </a:gs>
          </a:gsLst>
          <a:lin ang="5400000" scaled="0"/>
        </a:grad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dk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lt1"/>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[Sponsor - Facebook Data Report (Jan 2026).xlsm]Pivot!Pivot_Follower</c:name>
    <c:fmtId val="3"/>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Follower</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numFmt formatCode="#,##0" sourceLinked="0"/>
          <c:spPr>
            <a:solidFill>
              <a:sysClr val="window" lastClr="FFFFFF"/>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areaChart>
        <c:grouping val="standard"/>
        <c:varyColors val="0"/>
        <c:ser>
          <c:idx val="0"/>
          <c:order val="0"/>
          <c:tx>
            <c:strRef>
              <c:f>Pivot!$F$19</c:f>
              <c:strCache>
                <c:ptCount val="1"/>
                <c:pt idx="0">
                  <c:v>Total</c:v>
                </c:pt>
              </c:strCache>
            </c:strRef>
          </c:tx>
          <c:spPr>
            <a:solidFill>
              <a:schemeClr val="accent1"/>
            </a:solidFill>
            <a:ln>
              <a:noFill/>
            </a:ln>
            <a:effectLst/>
          </c:spPr>
          <c:dLbls>
            <c:numFmt formatCode="#,##0" sourceLinked="0"/>
            <c:spPr>
              <a:solidFill>
                <a:sysClr val="window" lastClr="FFFFFF"/>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multiLvlStrRef>
              <c:f>Pivot!$E$20:$E$21</c:f>
              <c:multiLvlStrCache>
                <c:ptCount val="1"/>
                <c:lvl>
                  <c:pt idx="0">
                    <c:v>Jan</c:v>
                  </c:pt>
                </c:lvl>
                <c:lvl>
                  <c:pt idx="0">
                    <c:v>2026</c:v>
                  </c:pt>
                </c:lvl>
              </c:multiLvlStrCache>
            </c:multiLvlStrRef>
          </c:cat>
          <c:val>
            <c:numRef>
              <c:f>Pivot!$F$20:$F$21</c:f>
              <c:numCache>
                <c:formatCode>_(* #,##0_);_(* \(#,##0\);_(* "-"??_);_(@_)</c:formatCode>
                <c:ptCount val="1"/>
                <c:pt idx="0">
                  <c:v>52946</c:v>
                </c:pt>
              </c:numCache>
            </c:numRef>
          </c:val>
          <c:extLst>
            <c:ext xmlns:c16="http://schemas.microsoft.com/office/drawing/2014/chart" uri="{C3380CC4-5D6E-409C-BE32-E72D297353CC}">
              <c16:uniqueId val="{00000000-4CE1-42C2-B44D-63A060785D3D}"/>
            </c:ext>
          </c:extLst>
        </c:ser>
        <c:dLbls>
          <c:showLegendKey val="0"/>
          <c:showVal val="1"/>
          <c:showCatName val="0"/>
          <c:showSerName val="0"/>
          <c:showPercent val="0"/>
          <c:showBubbleSize val="0"/>
        </c:dLbls>
        <c:axId val="886962783"/>
        <c:axId val="1971463535"/>
      </c:areaChart>
      <c:catAx>
        <c:axId val="886962783"/>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71463535"/>
        <c:crosses val="autoZero"/>
        <c:auto val="1"/>
        <c:lblAlgn val="ctr"/>
        <c:lblOffset val="100"/>
        <c:noMultiLvlLbl val="0"/>
      </c:catAx>
      <c:valAx>
        <c:axId val="1971463535"/>
        <c:scaling>
          <c:orientation val="minMax"/>
          <c:min val="0"/>
        </c:scaling>
        <c:delete val="0"/>
        <c:axPos val="l"/>
        <c:majorGridlines>
          <c:spPr>
            <a:ln w="9525" cap="flat" cmpd="sng" algn="ctr">
              <a:solidFill>
                <a:schemeClr val="tx1">
                  <a:lumMod val="15000"/>
                  <a:lumOff val="85000"/>
                </a:schemeClr>
              </a:solidFill>
              <a:round/>
            </a:ln>
            <a:effectLst/>
          </c:spPr>
        </c:majorGridlines>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86962783"/>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zero"/>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[Sponsor - Facebook Data Report (Jan 2026).xlsm]Pivot!Pivot_FB Live</c:name>
    <c:fmtId val="7"/>
  </c:pivotSource>
  <c:chart>
    <c:title>
      <c:tx>
        <c:rich>
          <a:bodyPr rot="0" spcFirstLastPara="1" vertOverflow="ellipsis" vert="horz" wrap="square" anchor="ctr" anchorCtr="1"/>
          <a:lstStyle/>
          <a:p>
            <a:pPr>
              <a:defRPr sz="1400" b="0" i="0" u="none" strike="noStrike" kern="1200" cap="none" spc="20" baseline="0">
                <a:solidFill>
                  <a:schemeClr val="dk1">
                    <a:lumMod val="50000"/>
                    <a:lumOff val="50000"/>
                  </a:schemeClr>
                </a:solidFill>
                <a:latin typeface="+mn-lt"/>
                <a:ea typeface="+mn-ea"/>
                <a:cs typeface="+mn-cs"/>
              </a:defRPr>
            </a:pPr>
            <a:r>
              <a:rPr lang="en-US"/>
              <a:t>Total Facebook Live Views  </a:t>
            </a:r>
          </a:p>
        </c:rich>
      </c:tx>
      <c:overlay val="0"/>
      <c:spPr>
        <a:noFill/>
        <a:ln>
          <a:noFill/>
        </a:ln>
        <a:effectLst/>
      </c:spPr>
      <c:txPr>
        <a:bodyPr rot="0" spcFirstLastPara="1" vertOverflow="ellipsis" vert="horz" wrap="square" anchor="ctr" anchorCtr="1"/>
        <a:lstStyle/>
        <a:p>
          <a:pPr>
            <a:defRPr sz="1400" b="0" i="0" u="none" strike="noStrike" kern="1200" cap="none" spc="20" baseline="0">
              <a:solidFill>
                <a:schemeClr val="dk1">
                  <a:lumMod val="50000"/>
                  <a:lumOff val="50000"/>
                </a:schemeClr>
              </a:solidFill>
              <a:latin typeface="+mn-lt"/>
              <a:ea typeface="+mn-ea"/>
              <a:cs typeface="+mn-cs"/>
            </a:defRPr>
          </a:pPr>
          <a:endParaRPr lang="en-US"/>
        </a:p>
      </c:txPr>
    </c:title>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dLbl>
          <c:idx val="0"/>
          <c:dLblPos val="t"/>
          <c:showLegendKey val="0"/>
          <c:showVal val="1"/>
          <c:showCatName val="0"/>
          <c:showSerName val="0"/>
          <c:showPercent val="0"/>
          <c:showBubbleSize val="0"/>
          <c:extLst>
            <c:ext xmlns:c15="http://schemas.microsoft.com/office/drawing/2012/chart" uri="{CE6537A1-D6FC-4f65-9D91-7224C49458BB}"/>
          </c:extLst>
        </c:dLbl>
      </c:pivotFmt>
      <c:pivotFmt>
        <c:idx val="3"/>
        <c:spPr>
          <a:ln w="22225" cap="rnd" cmpd="sng" algn="ctr">
            <a:solidFill>
              <a:srgbClr val="C00000"/>
            </a:solidFill>
            <a:round/>
          </a:ln>
          <a:effectLst/>
        </c:spPr>
        <c:marker>
          <c:symbol val="circle"/>
          <c:size val="4"/>
          <c:spPr>
            <a:solidFill>
              <a:srgbClr val="C00000"/>
            </a:solidFill>
            <a:ln w="9525" cap="flat" cmpd="sng" algn="ctr">
              <a:solidFill>
                <a:srgbClr val="C00000"/>
              </a:solidFill>
              <a:round/>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Pivot!$S$3</c:f>
              <c:strCache>
                <c:ptCount val="1"/>
                <c:pt idx="0">
                  <c:v>Total</c:v>
                </c:pt>
              </c:strCache>
            </c:strRef>
          </c:tx>
          <c:spPr>
            <a:ln w="22225" cap="rnd" cmpd="sng" algn="ctr">
              <a:solidFill>
                <a:srgbClr val="C00000"/>
              </a:solidFill>
              <a:round/>
            </a:ln>
            <a:effectLst/>
          </c:spPr>
          <c:marker>
            <c:symbol val="circle"/>
            <c:size val="4"/>
            <c:spPr>
              <a:solidFill>
                <a:srgbClr val="C00000"/>
              </a:solidFill>
              <a:ln w="9525" cap="flat" cmpd="sng" algn="ctr">
                <a:solidFill>
                  <a:srgbClr val="C00000"/>
                </a:solidFill>
                <a:round/>
              </a:ln>
              <a:effectLst/>
            </c:spPr>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dk1">
                          <a:lumMod val="35000"/>
                          <a:lumOff val="65000"/>
                        </a:schemeClr>
                      </a:solidFill>
                    </a:ln>
                    <a:effectLst/>
                  </c:spPr>
                </c15:leaderLines>
              </c:ext>
            </c:extLst>
          </c:dLbls>
          <c:cat>
            <c:multiLvlStrRef>
              <c:f>Pivot!$R$4:$R$5</c:f>
              <c:multiLvlStrCache>
                <c:ptCount val="1"/>
                <c:lvl>
                  <c:pt idx="0">
                    <c:v>Jan</c:v>
                  </c:pt>
                </c:lvl>
                <c:lvl>
                  <c:pt idx="0">
                    <c:v>2026</c:v>
                  </c:pt>
                </c:lvl>
              </c:multiLvlStrCache>
            </c:multiLvlStrRef>
          </c:cat>
          <c:val>
            <c:numRef>
              <c:f>Pivot!$S$4:$S$5</c:f>
              <c:numCache>
                <c:formatCode>_(* #,##0_);_(* \(#,##0\);_(* "-"??_);_(@_)</c:formatCode>
                <c:ptCount val="1"/>
                <c:pt idx="0">
                  <c:v>1384</c:v>
                </c:pt>
              </c:numCache>
            </c:numRef>
          </c:val>
          <c:smooth val="0"/>
          <c:extLst>
            <c:ext xmlns:c16="http://schemas.microsoft.com/office/drawing/2014/chart" uri="{C3380CC4-5D6E-409C-BE32-E72D297353CC}">
              <c16:uniqueId val="{00000000-6976-4782-A398-66BF400D2725}"/>
            </c:ext>
          </c:extLst>
        </c:ser>
        <c:dLbls>
          <c:dLblPos val="t"/>
          <c:showLegendKey val="0"/>
          <c:showVal val="1"/>
          <c:showCatName val="0"/>
          <c:showSerName val="0"/>
          <c:showPercent val="0"/>
          <c:showBubbleSize val="0"/>
        </c:dLbls>
        <c:dropLines>
          <c:spPr>
            <a:ln w="9525" cap="flat" cmpd="sng" algn="ctr">
              <a:solidFill>
                <a:schemeClr val="dk1">
                  <a:lumMod val="35000"/>
                  <a:lumOff val="65000"/>
                  <a:alpha val="33000"/>
                </a:schemeClr>
              </a:solidFill>
              <a:round/>
            </a:ln>
            <a:effectLst/>
          </c:spPr>
        </c:dropLines>
        <c:marker val="1"/>
        <c:smooth val="0"/>
        <c:axId val="1735950736"/>
        <c:axId val="1735949296"/>
      </c:lineChart>
      <c:catAx>
        <c:axId val="1735950736"/>
        <c:scaling>
          <c:orientation val="minMax"/>
        </c:scaling>
        <c:delete val="0"/>
        <c:axPos val="b"/>
        <c:numFmt formatCode="General" sourceLinked="1"/>
        <c:majorTickMark val="none"/>
        <c:minorTickMark val="none"/>
        <c:tickLblPos val="nextTo"/>
        <c:spPr>
          <a:noFill/>
          <a:ln w="9525" cap="flat" cmpd="sng" algn="ctr">
            <a:solidFill>
              <a:schemeClr val="dk1">
                <a:lumMod val="15000"/>
                <a:lumOff val="85000"/>
              </a:schemeClr>
            </a:solidFill>
            <a:round/>
          </a:ln>
          <a:effectLst/>
        </c:spPr>
        <c:txPr>
          <a:bodyPr rot="-60000000" spcFirstLastPara="1" vertOverflow="ellipsis" vert="horz" wrap="square" anchor="ctr" anchorCtr="1"/>
          <a:lstStyle/>
          <a:p>
            <a:pPr>
              <a:defRPr sz="900" b="0" i="0" u="none" strike="noStrike" kern="1200" spc="20" baseline="0">
                <a:solidFill>
                  <a:schemeClr val="dk1">
                    <a:lumMod val="65000"/>
                    <a:lumOff val="35000"/>
                  </a:schemeClr>
                </a:solidFill>
                <a:latin typeface="+mn-lt"/>
                <a:ea typeface="+mn-ea"/>
                <a:cs typeface="+mn-cs"/>
              </a:defRPr>
            </a:pPr>
            <a:endParaRPr lang="en-US"/>
          </a:p>
        </c:txPr>
        <c:crossAx val="1735949296"/>
        <c:crosses val="autoZero"/>
        <c:auto val="1"/>
        <c:lblAlgn val="ctr"/>
        <c:lblOffset val="100"/>
        <c:noMultiLvlLbl val="0"/>
      </c:catAx>
      <c:valAx>
        <c:axId val="1735949296"/>
        <c:scaling>
          <c:orientation val="minMax"/>
        </c:scaling>
        <c:delete val="0"/>
        <c:axPos val="l"/>
        <c:numFmt formatCode="_(* #,##0_);_(* \(#,##0\);_(* &quot;-&quot;??_);_(@_)"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spc="20" baseline="0">
                <a:solidFill>
                  <a:schemeClr val="dk1">
                    <a:lumMod val="65000"/>
                    <a:lumOff val="35000"/>
                  </a:schemeClr>
                </a:solidFill>
                <a:latin typeface="+mn-lt"/>
                <a:ea typeface="+mn-ea"/>
                <a:cs typeface="+mn-cs"/>
              </a:defRPr>
            </a:pPr>
            <a:endParaRPr lang="en-US"/>
          </a:p>
        </c:txPr>
        <c:crossAx val="1735950736"/>
        <c:crosses val="autoZero"/>
        <c:crossBetween val="between"/>
      </c:valAx>
      <c:spPr>
        <a:gradFill>
          <a:gsLst>
            <a:gs pos="100000">
              <a:schemeClr val="lt1">
                <a:lumMod val="95000"/>
              </a:schemeClr>
            </a:gs>
            <a:gs pos="0">
              <a:schemeClr val="lt1"/>
            </a:gs>
          </a:gsLst>
          <a:lin ang="5400000" scaled="0"/>
        </a:grad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dk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lt1"/>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30">
  <cs:axisTitle>
    <cs:lnRef idx="0"/>
    <cs:fillRef idx="0"/>
    <cs:effectRef idx="0"/>
    <cs:fontRef idx="minor">
      <a:schemeClr val="dk1">
        <a:lumMod val="65000"/>
        <a:lumOff val="35000"/>
      </a:schemeClr>
    </cs:fontRef>
    <cs:defRPr sz="900" kern="1200" cap="all"/>
  </cs:axisTitle>
  <cs:categoryAxis>
    <cs:lnRef idx="0"/>
    <cs:fillRef idx="0"/>
    <cs:effectRef idx="0"/>
    <cs:fontRef idx="minor">
      <a:schemeClr val="dk1">
        <a:lumMod val="65000"/>
        <a:lumOff val="35000"/>
      </a:schemeClr>
    </cs:fontRef>
    <cs:spPr>
      <a:ln w="9525" cap="flat" cmpd="sng" algn="ctr">
        <a:solidFill>
          <a:schemeClr val="dk1">
            <a:lumMod val="15000"/>
            <a:lumOff val="85000"/>
          </a:schemeClr>
        </a:solidFill>
        <a:round/>
      </a:ln>
    </cs:spPr>
    <cs:defRPr sz="900" b="0" kern="1200" spc="20" baseline="0"/>
  </cs:categoryAxis>
  <cs:chartArea mods="allowNoLineOverride">
    <cs:lnRef idx="0"/>
    <cs:fillRef idx="0"/>
    <cs:effectRef idx="0"/>
    <cs:fontRef idx="minor">
      <a:schemeClr val="dk1"/>
    </cs:fontRef>
    <cs:spPr>
      <a:solidFill>
        <a:schemeClr val="lt1"/>
      </a:solidFill>
      <a:ln w="9525" cap="flat" cmpd="sng" algn="ctr">
        <a:solidFill>
          <a:schemeClr val="dk1">
            <a:lumMod val="15000"/>
            <a:lumOff val="85000"/>
          </a:schemeClr>
        </a:solidFill>
        <a:round/>
      </a:ln>
    </cs:spPr>
    <cs:defRPr sz="900" kern="1200"/>
  </cs:chartArea>
  <cs:dataLabel>
    <cs:lnRef idx="0"/>
    <cs:fillRef idx="0"/>
    <cs:effectRef idx="0"/>
    <cs:fontRef idx="minor">
      <a:schemeClr val="dk1">
        <a:lumMod val="65000"/>
        <a:lumOff val="3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
  <cs:dataPoint3D>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3D>
  <cs:dataPointLine>
    <cs:lnRef idx="0">
      <cs:styleClr val="auto"/>
    </cs:lnRef>
    <cs:fillRef idx="0"/>
    <cs:effectRef idx="0"/>
    <cs:fontRef idx="minor">
      <a:schemeClr val="dk1"/>
    </cs:fontRef>
    <cs:spPr>
      <a:ln w="22225" cap="rnd" cmpd="sng" algn="ctr">
        <a:solidFill>
          <a:schemeClr val="phClr"/>
        </a:solidFill>
        <a:round/>
      </a:ln>
    </cs:spPr>
  </cs:dataPointLine>
  <cs:dataPointMarker>
    <cs:lnRef idx="0">
      <cs:styleClr val="auto"/>
    </cs:lnRef>
    <cs:fillRef idx="0">
      <cs:styleClr val="auto"/>
    </cs:fillRef>
    <cs:effectRef idx="0"/>
    <cs:fontRef idx="minor">
      <a:schemeClr val="dk1"/>
    </cs:fontRef>
    <cs:spPr>
      <a:solidFill>
        <a:schemeClr val="phClr"/>
      </a:solidFill>
      <a:ln w="9525" cap="flat" cmpd="sng" algn="ctr">
        <a:solidFill>
          <a:schemeClr val="phClr"/>
        </a:solidFill>
        <a:round/>
      </a:ln>
    </cs:spPr>
  </cs:dataPointMarker>
  <cs:dataPointMarkerLayout symbol="circle" size="4"/>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65000"/>
        <a:lumOff val="35000"/>
      </a:schemeClr>
    </cs:fontRef>
    <cs:spPr>
      <a:ln w="9525">
        <a:solidFill>
          <a:schemeClr val="dk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dk1">
            <a:lumMod val="65000"/>
            <a:lumOff val="35000"/>
          </a:schemeClr>
        </a:solidFill>
      </a:ln>
    </cs:spPr>
  </cs:downBar>
  <cs:dropLine>
    <cs:lnRef idx="0"/>
    <cs:fillRef idx="0"/>
    <cs:effectRef idx="0"/>
    <cs:fontRef idx="minor">
      <a:schemeClr val="dk1"/>
    </cs:fontRef>
    <cs:spPr>
      <a:ln w="9525" cap="flat" cmpd="sng" algn="ctr">
        <a:solidFill>
          <a:schemeClr val="dk1">
            <a:lumMod val="35000"/>
            <a:lumOff val="65000"/>
            <a:alpha val="33000"/>
          </a:schemeClr>
        </a:solidFill>
        <a:round/>
      </a:ln>
    </cs:spPr>
  </cs:dropLine>
  <cs:errorBar>
    <cs:lnRef idx="0"/>
    <cs:fillRef idx="0"/>
    <cs:effectRef idx="0"/>
    <cs:fontRef idx="minor">
      <a:schemeClr val="dk1"/>
    </cs:fontRef>
    <cs:spPr>
      <a:ln w="9525">
        <a:solidFill>
          <a:schemeClr val="dk1">
            <a:lumMod val="65000"/>
            <a:lumOff val="35000"/>
          </a:schemeClr>
        </a:solidFill>
      </a:ln>
    </cs:spPr>
  </cs:errorBar>
  <cs:floor>
    <cs:lnRef idx="0"/>
    <cs:fillRef idx="0"/>
    <cs:effectRef idx="0"/>
    <cs:fontRef idx="minor">
      <a:schemeClr val="dk1"/>
    </cs:fontRef>
  </cs:floor>
  <cs:gridlineMajor>
    <cs:lnRef idx="0"/>
    <cs:fillRef idx="0"/>
    <cs:effectRef idx="0"/>
    <cs:fontRef idx="minor">
      <a:schemeClr val="dk1"/>
    </cs:fontRef>
    <cs:spPr>
      <a:ln>
        <a:solidFill>
          <a:schemeClr val="dk1">
            <a:lumMod val="15000"/>
            <a:lumOff val="85000"/>
          </a:schemeClr>
        </a:solidFill>
      </a:ln>
    </cs:spPr>
  </cs:gridlineMajor>
  <cs:gridlineMinor>
    <cs:lnRef idx="0"/>
    <cs:fillRef idx="0"/>
    <cs:effectRef idx="0"/>
    <cs:fontRef idx="minor">
      <a:schemeClr val="dk1"/>
    </cs:fontRef>
    <cs:spPr>
      <a:ln>
        <a:solidFill>
          <a:schemeClr val="dk1">
            <a:lumMod val="5000"/>
            <a:lumOff val="95000"/>
          </a:schemeClr>
        </a:solidFill>
      </a:ln>
    </cs:spPr>
  </cs:gridlineMinor>
  <cs:hiLoLine>
    <cs:lnRef idx="0"/>
    <cs:fillRef idx="0"/>
    <cs:effectRef idx="0"/>
    <cs:fontRef idx="minor">
      <a:schemeClr val="dk1"/>
    </cs:fontRef>
    <cs:spPr>
      <a:ln w="9525">
        <a:solidFill>
          <a:schemeClr val="dk1">
            <a:lumMod val="35000"/>
            <a:lumOff val="65000"/>
          </a:schemeClr>
        </a:solidFill>
      </a:ln>
    </cs:spPr>
  </cs:hiLoLine>
  <cs:leaderLine>
    <cs:lnRef idx="0"/>
    <cs:fillRef idx="0"/>
    <cs:effectRef idx="0"/>
    <cs:fontRef idx="minor">
      <a:schemeClr val="dk1"/>
    </cs:fontRef>
    <cs:spPr>
      <a:ln w="9525">
        <a:solidFill>
          <a:schemeClr val="dk1">
            <a:lumMod val="35000"/>
            <a:lumOff val="65000"/>
          </a:schemeClr>
        </a:solidFill>
      </a:ln>
    </cs:spPr>
  </cs:leaderLine>
  <cs:legend>
    <cs:lnRef idx="0"/>
    <cs:fillRef idx="0"/>
    <cs:effectRef idx="0"/>
    <cs:fontRef idx="minor">
      <a:schemeClr val="dk1">
        <a:lumMod val="65000"/>
        <a:lumOff val="35000"/>
      </a:schemeClr>
    </cs:fontRef>
    <cs:defRPr sz="900" kern="1200"/>
  </cs:legend>
  <cs:plotArea>
    <cs:lnRef idx="0"/>
    <cs:fillRef idx="0"/>
    <cs:effectRef idx="0"/>
    <cs:fontRef idx="minor">
      <a:schemeClr val="dk1"/>
    </cs:fontRef>
    <cs:spPr>
      <a:gradFill>
        <a:gsLst>
          <a:gs pos="100000">
            <a:schemeClr val="lt1">
              <a:lumMod val="95000"/>
            </a:schemeClr>
          </a:gs>
          <a:gs pos="0">
            <a:schemeClr val="lt1"/>
          </a:gs>
        </a:gsLst>
        <a:lin ang="5400000" scaled="0"/>
      </a:gradFill>
    </cs:spPr>
  </cs:plotArea>
  <cs:plotArea3D>
    <cs:lnRef idx="0"/>
    <cs:fillRef idx="0"/>
    <cs:effectRef idx="0"/>
    <cs:fontRef idx="minor">
      <a:schemeClr val="dk1"/>
    </cs:fontRef>
  </cs:plotArea3D>
  <cs:seriesAxis>
    <cs:lnRef idx="0"/>
    <cs:fillRef idx="0"/>
    <cs:effectRef idx="0"/>
    <cs:fontRef idx="minor">
      <a:schemeClr val="dk1">
        <a:lumMod val="65000"/>
        <a:lumOff val="35000"/>
      </a:schemeClr>
    </cs:fontRef>
    <cs:spPr>
      <a:ln w="9525" cap="flat" cmpd="sng" algn="ctr">
        <a:solidFill>
          <a:schemeClr val="dk1">
            <a:lumMod val="15000"/>
            <a:lumOff val="85000"/>
          </a:schemeClr>
        </a:solidFill>
        <a:round/>
      </a:ln>
    </cs:spPr>
    <cs:defRPr sz="900" kern="1200"/>
  </cs:seriesAxis>
  <cs:seriesLine>
    <cs:lnRef idx="0"/>
    <cs:fillRef idx="0"/>
    <cs:effectRef idx="0"/>
    <cs:fontRef idx="minor">
      <a:schemeClr val="dk1"/>
    </cs:fontRef>
    <cs:spPr>
      <a:ln w="9525">
        <a:solidFill>
          <a:schemeClr val="dk1">
            <a:lumMod val="35000"/>
            <a:lumOff val="65000"/>
          </a:schemeClr>
        </a:solidFill>
        <a:prstDash val="dash"/>
      </a:ln>
    </cs:spPr>
  </cs:seriesLine>
  <cs:title>
    <cs:lnRef idx="0"/>
    <cs:fillRef idx="0"/>
    <cs:effectRef idx="0"/>
    <cs:fontRef idx="minor">
      <a:schemeClr val="dk1">
        <a:lumMod val="50000"/>
        <a:lumOff val="50000"/>
      </a:schemeClr>
    </cs:fontRef>
    <cs:defRPr sz="1400" kern="1200" cap="none" spc="20" baseline="0"/>
  </cs:title>
  <cs:trendline>
    <cs:lnRef idx="0">
      <cs:styleClr val="auto"/>
    </cs:lnRef>
    <cs:fillRef idx="0"/>
    <cs:effectRef idx="0"/>
    <cs:fontRef idx="minor">
      <a:schemeClr val="dk1"/>
    </cs:fontRef>
    <cs:spPr>
      <a:ln w="9525" cap="rnd">
        <a:solidFill>
          <a:schemeClr val="phClr"/>
        </a:solidFill>
      </a:ln>
    </cs:spPr>
  </cs:trendline>
  <cs:trendlineLabel>
    <cs:lnRef idx="0"/>
    <cs:fillRef idx="0"/>
    <cs:effectRef idx="0"/>
    <cs:fontRef idx="minor">
      <a:schemeClr val="dk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65000"/>
        <a:lumOff val="35000"/>
      </a:schemeClr>
    </cs:fontRef>
    <cs:defRPr sz="900" kern="1200" spc="20" baseline="0"/>
  </cs:valueAxis>
  <cs:wall>
    <cs:lnRef idx="0"/>
    <cs:fillRef idx="0"/>
    <cs:effectRef idx="0"/>
    <cs:fontRef idx="minor">
      <a:schemeClr val="dk1"/>
    </cs:fontRef>
  </cs:wall>
</cs:chartStyle>
</file>

<file path=xl/charts/style3.xml><?xml version="1.0" encoding="utf-8"?>
<cs:chartStyle xmlns:cs="http://schemas.microsoft.com/office/drawing/2012/chartStyle" xmlns:a="http://schemas.openxmlformats.org/drawingml/2006/main" id="230">
  <cs:axisTitle>
    <cs:lnRef idx="0"/>
    <cs:fillRef idx="0"/>
    <cs:effectRef idx="0"/>
    <cs:fontRef idx="minor">
      <a:schemeClr val="dk1">
        <a:lumMod val="65000"/>
        <a:lumOff val="35000"/>
      </a:schemeClr>
    </cs:fontRef>
    <cs:defRPr sz="900" kern="1200" cap="all"/>
  </cs:axisTitle>
  <cs:categoryAxis>
    <cs:lnRef idx="0"/>
    <cs:fillRef idx="0"/>
    <cs:effectRef idx="0"/>
    <cs:fontRef idx="minor">
      <a:schemeClr val="dk1">
        <a:lumMod val="65000"/>
        <a:lumOff val="35000"/>
      </a:schemeClr>
    </cs:fontRef>
    <cs:spPr>
      <a:ln w="9525" cap="flat" cmpd="sng" algn="ctr">
        <a:solidFill>
          <a:schemeClr val="dk1">
            <a:lumMod val="15000"/>
            <a:lumOff val="85000"/>
          </a:schemeClr>
        </a:solidFill>
        <a:round/>
      </a:ln>
    </cs:spPr>
    <cs:defRPr sz="900" b="0" kern="1200" spc="20" baseline="0"/>
  </cs:categoryAxis>
  <cs:chartArea mods="allowNoLineOverride">
    <cs:lnRef idx="0"/>
    <cs:fillRef idx="0"/>
    <cs:effectRef idx="0"/>
    <cs:fontRef idx="minor">
      <a:schemeClr val="dk1"/>
    </cs:fontRef>
    <cs:spPr>
      <a:solidFill>
        <a:schemeClr val="lt1"/>
      </a:solidFill>
      <a:ln w="9525" cap="flat" cmpd="sng" algn="ctr">
        <a:solidFill>
          <a:schemeClr val="dk1">
            <a:lumMod val="15000"/>
            <a:lumOff val="85000"/>
          </a:schemeClr>
        </a:solidFill>
        <a:round/>
      </a:ln>
    </cs:spPr>
    <cs:defRPr sz="900" kern="1200"/>
  </cs:chartArea>
  <cs:dataLabel>
    <cs:lnRef idx="0"/>
    <cs:fillRef idx="0"/>
    <cs:effectRef idx="0"/>
    <cs:fontRef idx="minor">
      <a:schemeClr val="dk1">
        <a:lumMod val="65000"/>
        <a:lumOff val="3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
  <cs:dataPoint3D>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3D>
  <cs:dataPointLine>
    <cs:lnRef idx="0">
      <cs:styleClr val="auto"/>
    </cs:lnRef>
    <cs:fillRef idx="0"/>
    <cs:effectRef idx="0"/>
    <cs:fontRef idx="minor">
      <a:schemeClr val="dk1"/>
    </cs:fontRef>
    <cs:spPr>
      <a:ln w="22225" cap="rnd" cmpd="sng" algn="ctr">
        <a:solidFill>
          <a:schemeClr val="phClr"/>
        </a:solidFill>
        <a:round/>
      </a:ln>
    </cs:spPr>
  </cs:dataPointLine>
  <cs:dataPointMarker>
    <cs:lnRef idx="0">
      <cs:styleClr val="auto"/>
    </cs:lnRef>
    <cs:fillRef idx="0">
      <cs:styleClr val="auto"/>
    </cs:fillRef>
    <cs:effectRef idx="0"/>
    <cs:fontRef idx="minor">
      <a:schemeClr val="dk1"/>
    </cs:fontRef>
    <cs:spPr>
      <a:solidFill>
        <a:schemeClr val="phClr"/>
      </a:solidFill>
      <a:ln w="9525" cap="flat" cmpd="sng" algn="ctr">
        <a:solidFill>
          <a:schemeClr val="phClr"/>
        </a:solidFill>
        <a:round/>
      </a:ln>
    </cs:spPr>
  </cs:dataPointMarker>
  <cs:dataPointMarkerLayout symbol="circle" size="4"/>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65000"/>
        <a:lumOff val="35000"/>
      </a:schemeClr>
    </cs:fontRef>
    <cs:spPr>
      <a:ln w="9525">
        <a:solidFill>
          <a:schemeClr val="dk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dk1">
            <a:lumMod val="65000"/>
            <a:lumOff val="35000"/>
          </a:schemeClr>
        </a:solidFill>
      </a:ln>
    </cs:spPr>
  </cs:downBar>
  <cs:dropLine>
    <cs:lnRef idx="0"/>
    <cs:fillRef idx="0"/>
    <cs:effectRef idx="0"/>
    <cs:fontRef idx="minor">
      <a:schemeClr val="dk1"/>
    </cs:fontRef>
    <cs:spPr>
      <a:ln w="9525" cap="flat" cmpd="sng" algn="ctr">
        <a:solidFill>
          <a:schemeClr val="dk1">
            <a:lumMod val="35000"/>
            <a:lumOff val="65000"/>
            <a:alpha val="33000"/>
          </a:schemeClr>
        </a:solidFill>
        <a:round/>
      </a:ln>
    </cs:spPr>
  </cs:dropLine>
  <cs:errorBar>
    <cs:lnRef idx="0"/>
    <cs:fillRef idx="0"/>
    <cs:effectRef idx="0"/>
    <cs:fontRef idx="minor">
      <a:schemeClr val="dk1"/>
    </cs:fontRef>
    <cs:spPr>
      <a:ln w="9525">
        <a:solidFill>
          <a:schemeClr val="dk1">
            <a:lumMod val="65000"/>
            <a:lumOff val="35000"/>
          </a:schemeClr>
        </a:solidFill>
      </a:ln>
    </cs:spPr>
  </cs:errorBar>
  <cs:floor>
    <cs:lnRef idx="0"/>
    <cs:fillRef idx="0"/>
    <cs:effectRef idx="0"/>
    <cs:fontRef idx="minor">
      <a:schemeClr val="dk1"/>
    </cs:fontRef>
  </cs:floor>
  <cs:gridlineMajor>
    <cs:lnRef idx="0"/>
    <cs:fillRef idx="0"/>
    <cs:effectRef idx="0"/>
    <cs:fontRef idx="minor">
      <a:schemeClr val="dk1"/>
    </cs:fontRef>
    <cs:spPr>
      <a:ln>
        <a:solidFill>
          <a:schemeClr val="dk1">
            <a:lumMod val="15000"/>
            <a:lumOff val="85000"/>
          </a:schemeClr>
        </a:solidFill>
      </a:ln>
    </cs:spPr>
  </cs:gridlineMajor>
  <cs:gridlineMinor>
    <cs:lnRef idx="0"/>
    <cs:fillRef idx="0"/>
    <cs:effectRef idx="0"/>
    <cs:fontRef idx="minor">
      <a:schemeClr val="dk1"/>
    </cs:fontRef>
    <cs:spPr>
      <a:ln>
        <a:solidFill>
          <a:schemeClr val="dk1">
            <a:lumMod val="5000"/>
            <a:lumOff val="95000"/>
          </a:schemeClr>
        </a:solidFill>
      </a:ln>
    </cs:spPr>
  </cs:gridlineMinor>
  <cs:hiLoLine>
    <cs:lnRef idx="0"/>
    <cs:fillRef idx="0"/>
    <cs:effectRef idx="0"/>
    <cs:fontRef idx="minor">
      <a:schemeClr val="dk1"/>
    </cs:fontRef>
    <cs:spPr>
      <a:ln w="9525">
        <a:solidFill>
          <a:schemeClr val="dk1">
            <a:lumMod val="35000"/>
            <a:lumOff val="65000"/>
          </a:schemeClr>
        </a:solidFill>
      </a:ln>
    </cs:spPr>
  </cs:hiLoLine>
  <cs:leaderLine>
    <cs:lnRef idx="0"/>
    <cs:fillRef idx="0"/>
    <cs:effectRef idx="0"/>
    <cs:fontRef idx="minor">
      <a:schemeClr val="dk1"/>
    </cs:fontRef>
    <cs:spPr>
      <a:ln w="9525">
        <a:solidFill>
          <a:schemeClr val="dk1">
            <a:lumMod val="35000"/>
            <a:lumOff val="65000"/>
          </a:schemeClr>
        </a:solidFill>
      </a:ln>
    </cs:spPr>
  </cs:leaderLine>
  <cs:legend>
    <cs:lnRef idx="0"/>
    <cs:fillRef idx="0"/>
    <cs:effectRef idx="0"/>
    <cs:fontRef idx="minor">
      <a:schemeClr val="dk1">
        <a:lumMod val="65000"/>
        <a:lumOff val="35000"/>
      </a:schemeClr>
    </cs:fontRef>
    <cs:defRPr sz="900" kern="1200"/>
  </cs:legend>
  <cs:plotArea>
    <cs:lnRef idx="0"/>
    <cs:fillRef idx="0"/>
    <cs:effectRef idx="0"/>
    <cs:fontRef idx="minor">
      <a:schemeClr val="dk1"/>
    </cs:fontRef>
    <cs:spPr>
      <a:gradFill>
        <a:gsLst>
          <a:gs pos="100000">
            <a:schemeClr val="lt1">
              <a:lumMod val="95000"/>
            </a:schemeClr>
          </a:gs>
          <a:gs pos="0">
            <a:schemeClr val="lt1"/>
          </a:gs>
        </a:gsLst>
        <a:lin ang="5400000" scaled="0"/>
      </a:gradFill>
    </cs:spPr>
  </cs:plotArea>
  <cs:plotArea3D>
    <cs:lnRef idx="0"/>
    <cs:fillRef idx="0"/>
    <cs:effectRef idx="0"/>
    <cs:fontRef idx="minor">
      <a:schemeClr val="dk1"/>
    </cs:fontRef>
  </cs:plotArea3D>
  <cs:seriesAxis>
    <cs:lnRef idx="0"/>
    <cs:fillRef idx="0"/>
    <cs:effectRef idx="0"/>
    <cs:fontRef idx="minor">
      <a:schemeClr val="dk1">
        <a:lumMod val="65000"/>
        <a:lumOff val="35000"/>
      </a:schemeClr>
    </cs:fontRef>
    <cs:spPr>
      <a:ln w="9525" cap="flat" cmpd="sng" algn="ctr">
        <a:solidFill>
          <a:schemeClr val="dk1">
            <a:lumMod val="15000"/>
            <a:lumOff val="85000"/>
          </a:schemeClr>
        </a:solidFill>
        <a:round/>
      </a:ln>
    </cs:spPr>
    <cs:defRPr sz="900" kern="1200"/>
  </cs:seriesAxis>
  <cs:seriesLine>
    <cs:lnRef idx="0"/>
    <cs:fillRef idx="0"/>
    <cs:effectRef idx="0"/>
    <cs:fontRef idx="minor">
      <a:schemeClr val="dk1"/>
    </cs:fontRef>
    <cs:spPr>
      <a:ln w="9525">
        <a:solidFill>
          <a:schemeClr val="dk1">
            <a:lumMod val="35000"/>
            <a:lumOff val="65000"/>
          </a:schemeClr>
        </a:solidFill>
        <a:prstDash val="dash"/>
      </a:ln>
    </cs:spPr>
  </cs:seriesLine>
  <cs:title>
    <cs:lnRef idx="0"/>
    <cs:fillRef idx="0"/>
    <cs:effectRef idx="0"/>
    <cs:fontRef idx="minor">
      <a:schemeClr val="dk1">
        <a:lumMod val="50000"/>
        <a:lumOff val="50000"/>
      </a:schemeClr>
    </cs:fontRef>
    <cs:defRPr sz="1400" kern="1200" cap="none" spc="20" baseline="0"/>
  </cs:title>
  <cs:trendline>
    <cs:lnRef idx="0">
      <cs:styleClr val="auto"/>
    </cs:lnRef>
    <cs:fillRef idx="0"/>
    <cs:effectRef idx="0"/>
    <cs:fontRef idx="minor">
      <a:schemeClr val="dk1"/>
    </cs:fontRef>
    <cs:spPr>
      <a:ln w="9525" cap="rnd">
        <a:solidFill>
          <a:schemeClr val="phClr"/>
        </a:solidFill>
      </a:ln>
    </cs:spPr>
  </cs:trendline>
  <cs:trendlineLabel>
    <cs:lnRef idx="0"/>
    <cs:fillRef idx="0"/>
    <cs:effectRef idx="0"/>
    <cs:fontRef idx="minor">
      <a:schemeClr val="dk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65000"/>
        <a:lumOff val="35000"/>
      </a:schemeClr>
    </cs:fontRef>
    <cs:defRPr sz="900" kern="1200" spc="20" baseline="0"/>
  </cs:valueAxis>
  <cs:wall>
    <cs:lnRef idx="0"/>
    <cs:fillRef idx="0"/>
    <cs:effectRef idx="0"/>
    <cs:fontRef idx="minor">
      <a:schemeClr val="dk1"/>
    </cs:fontRef>
  </cs:wall>
</cs:chartStyle>
</file>

<file path=xl/charts/style4.xml><?xml version="1.0" encoding="utf-8"?>
<cs:chartStyle xmlns:cs="http://schemas.microsoft.com/office/drawing/2012/chartStyle" xmlns:a="http://schemas.openxmlformats.org/drawingml/2006/main" id="221">
  <cs:axisTitle>
    <cs:lnRef idx="0"/>
    <cs:fillRef idx="0"/>
    <cs:effectRef idx="0"/>
    <cs:fontRef idx="minor">
      <a:schemeClr val="dk1">
        <a:lumMod val="65000"/>
        <a:lumOff val="35000"/>
      </a:schemeClr>
    </cs:fontRef>
    <cs:defRPr sz="900" b="1" kern="1200"/>
  </cs:axisTitle>
  <cs:categoryAxis>
    <cs:lnRef idx="0"/>
    <cs:fillRef idx="0"/>
    <cs:effectRef idx="0"/>
    <cs:fontRef idx="minor">
      <a:schemeClr val="dk1">
        <a:lumMod val="65000"/>
        <a:lumOff val="35000"/>
      </a:schemeClr>
    </cs:fontRef>
    <cs:spPr>
      <a:ln w="9525" cap="flat" cmpd="sng" algn="ctr">
        <a:solidFill>
          <a:schemeClr val="dk1">
            <a:lumMod val="15000"/>
            <a:lumOff val="85000"/>
          </a:schemeClr>
        </a:solidFill>
        <a:round/>
      </a:ln>
    </cs:spPr>
    <cs:defRPr sz="900" kern="1200" cap="none" spc="0" normalizeH="0" baseline="0"/>
  </cs:categoryAxis>
  <cs:chartArea>
    <cs:lnRef idx="0"/>
    <cs:fillRef idx="0"/>
    <cs:effectRef idx="0"/>
    <cs:fontRef idx="minor">
      <a:schemeClr val="dk1"/>
    </cs:fontRef>
    <cs:spPr>
      <a:solidFill>
        <a:schemeClr val="lt1"/>
      </a:solidFill>
      <a:ln w="9525" cap="flat" cmpd="sng" algn="ctr">
        <a:solidFill>
          <a:schemeClr val="dk1">
            <a:lumMod val="15000"/>
            <a:lumOff val="85000"/>
          </a:schemeClr>
        </a:solidFill>
        <a:round/>
      </a:ln>
    </cs:spPr>
    <cs:defRPr sz="900" kern="1200"/>
  </cs:chartArea>
  <cs:dataLabel>
    <cs:lnRef idx="0"/>
    <cs:fillRef idx="0"/>
    <cs:effectRef idx="0"/>
    <cs:fontRef idx="minor">
      <a:schemeClr val="dk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cs:spPr>
  </cs:dataPoint>
  <cs:dataPoint3D>
    <cs:lnRef idx="0"/>
    <cs:fillRef idx="0">
      <cs:styleClr val="auto"/>
    </cs:fillRef>
    <cs:effectRef idx="0"/>
    <cs:fontRef idx="minor">
      <a:schemeClr val="dk1"/>
    </cs:fontRef>
    <cs:spPr>
      <a:solidFill>
        <a:schemeClr val="phClr"/>
      </a:solidFill>
    </cs:spPr>
  </cs:dataPoint3D>
  <cs:dataPointLine>
    <cs:lnRef idx="0">
      <cs:styleClr val="auto"/>
    </cs:lnRef>
    <cs:fillRef idx="0"/>
    <cs:effectRef idx="0"/>
    <cs:fontRef idx="minor">
      <a:schemeClr val="dk1"/>
    </cs:fontRef>
    <cs:spPr>
      <a:ln w="22225" cap="rnd">
        <a:solidFill>
          <a:schemeClr val="phClr"/>
        </a:solidFill>
        <a:round/>
      </a:ln>
    </cs:spPr>
  </cs:dataPointLine>
  <cs:dataPointMarker>
    <cs:lnRef idx="0">
      <cs:styleClr val="auto"/>
    </cs:lnRef>
    <cs:fillRef idx="0">
      <cs:styleClr val="auto"/>
    </cs:fillRef>
    <cs:effectRef idx="0"/>
    <cs:fontRef idx="minor">
      <a:schemeClr val="dk1"/>
    </cs:fontRef>
    <cs:spPr>
      <a:solidFill>
        <a:schemeClr val="lt1"/>
      </a:solidFill>
      <a:ln w="15875">
        <a:solidFill>
          <a:schemeClr val="phClr"/>
        </a:solidFill>
        <a:round/>
      </a:ln>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65000"/>
        <a:lumOff val="35000"/>
      </a:schemeClr>
    </cs:fontRef>
    <cs:spPr>
      <a:ln w="9525" cap="flat" cmpd="sng" algn="ctr">
        <a:solidFill>
          <a:schemeClr val="dk1">
            <a:lumMod val="15000"/>
            <a:lumOff val="85000"/>
          </a:schemeClr>
        </a:solidFill>
        <a:round/>
      </a:ln>
    </cs:spPr>
    <cs:defRPr sz="800" kern="1200"/>
  </cs:dataTable>
  <cs:downBar>
    <cs:lnRef idx="0"/>
    <cs:fillRef idx="0"/>
    <cs:effectRef idx="0"/>
    <cs:fontRef idx="minor">
      <a:schemeClr val="dk1"/>
    </cs:fontRef>
    <cs:spPr>
      <a:solidFill>
        <a:schemeClr val="dk1">
          <a:lumMod val="75000"/>
          <a:lumOff val="25000"/>
        </a:schemeClr>
      </a:solidFill>
      <a:ln w="9525" cap="flat" cmpd="sng" algn="ctr">
        <a:solidFill>
          <a:schemeClr val="dk1">
            <a:lumMod val="50000"/>
            <a:lumOff val="50000"/>
          </a:schemeClr>
        </a:solidFill>
        <a:round/>
      </a:ln>
    </cs:spPr>
  </cs:downBar>
  <cs:dropLine>
    <cs:lnRef idx="0"/>
    <cs:fillRef idx="0"/>
    <cs:effectRef idx="0"/>
    <cs:fontRef idx="minor">
      <a:schemeClr val="dk1"/>
    </cs:fontRef>
    <cs:spPr>
      <a:ln w="9525" cap="flat" cmpd="sng" algn="ctr">
        <a:solidFill>
          <a:schemeClr val="dk1">
            <a:lumMod val="35000"/>
            <a:lumOff val="65000"/>
          </a:schemeClr>
        </a:solidFill>
        <a:round/>
      </a:ln>
    </cs:spPr>
  </cs:dropLine>
  <cs:errorBar>
    <cs:lnRef idx="0"/>
    <cs:fillRef idx="0"/>
    <cs:effectRef idx="0"/>
    <cs:fontRef idx="minor">
      <a:schemeClr val="dk1"/>
    </cs:fontRef>
    <cs:spPr>
      <a:ln w="9525" cap="flat" cmpd="sng" algn="ctr">
        <a:solidFill>
          <a:schemeClr val="dk1">
            <a:lumMod val="50000"/>
            <a:lumOff val="50000"/>
          </a:schemeClr>
        </a:solidFill>
        <a:round/>
      </a:ln>
    </cs:spPr>
  </cs:errorBar>
  <cs:floor>
    <cs:lnRef idx="0"/>
    <cs:fillRef idx="0"/>
    <cs:effectRef idx="0"/>
    <cs:fontRef idx="minor">
      <a:schemeClr val="dk1"/>
    </cs:fontRef>
    <cs:spPr>
      <a:pattFill prst="ltDnDiag">
        <a:fgClr>
          <a:schemeClr val="dk1">
            <a:lumMod val="15000"/>
            <a:lumOff val="85000"/>
          </a:schemeClr>
        </a:fgClr>
        <a:bgClr>
          <a:schemeClr val="lt1"/>
        </a:bgClr>
      </a:pattFill>
    </cs:spPr>
  </cs:floor>
  <cs:gridlineMajor>
    <cs:lnRef idx="0"/>
    <cs:fillRef idx="0"/>
    <cs:effectRef idx="0"/>
    <cs:fontRef idx="minor">
      <a:schemeClr val="dk1"/>
    </cs:fontRef>
    <cs:spPr>
      <a:ln w="9525" cap="flat" cmpd="sng" algn="ctr">
        <a:solidFill>
          <a:schemeClr val="dk1">
            <a:lumMod val="15000"/>
            <a:lumOff val="85000"/>
          </a:schemeClr>
        </a:solidFill>
        <a:round/>
      </a:ln>
    </cs:spPr>
  </cs:gridlineMajor>
  <cs:gridlineMinor>
    <cs:lnRef idx="0"/>
    <cs:fillRef idx="0"/>
    <cs:effectRef idx="0"/>
    <cs:fontRef idx="minor">
      <a:schemeClr val="dk1"/>
    </cs:fontRef>
    <cs:spPr>
      <a:ln w="9525" cap="flat" cmpd="sng" algn="ctr">
        <a:solidFill>
          <a:schemeClr val="dk1">
            <a:lumMod val="5000"/>
            <a:lumOff val="95000"/>
          </a:schemeClr>
        </a:solidFill>
        <a:round/>
      </a:ln>
    </cs:spPr>
  </cs:gridlineMinor>
  <cs:hiLoLine>
    <cs:lnRef idx="0"/>
    <cs:fillRef idx="0"/>
    <cs:effectRef idx="0"/>
    <cs:fontRef idx="minor">
      <a:schemeClr val="dk1"/>
    </cs:fontRef>
    <cs:spPr>
      <a:ln w="9525" cap="flat" cmpd="sng" algn="ctr">
        <a:solidFill>
          <a:schemeClr val="dk1">
            <a:lumMod val="35000"/>
            <a:lumOff val="65000"/>
          </a:schemeClr>
        </a:solidFill>
        <a:round/>
      </a:ln>
    </cs:spPr>
  </cs:hiLoLine>
  <cs:leaderLine>
    <cs:lnRef idx="0"/>
    <cs:fillRef idx="0"/>
    <cs:effectRef idx="0"/>
    <cs:fontRef idx="minor">
      <a:schemeClr val="dk1"/>
    </cs:fontRef>
    <cs:spPr>
      <a:ln w="9525" cap="flat" cmpd="sng" algn="ctr">
        <a:solidFill>
          <a:schemeClr val="dk1">
            <a:lumMod val="35000"/>
            <a:lumOff val="65000"/>
          </a:schemeClr>
        </a:solidFill>
        <a:round/>
      </a:ln>
    </cs:spPr>
  </cs:leaderLine>
  <cs:legend>
    <cs:lnRef idx="0"/>
    <cs:fillRef idx="0"/>
    <cs:effectRef idx="0"/>
    <cs:fontRef idx="minor">
      <a:schemeClr val="dk1">
        <a:lumMod val="65000"/>
        <a:lumOff val="35000"/>
      </a:schemeClr>
    </cs:fontRef>
    <cs:defRPr sz="900" kern="1200"/>
  </cs:legend>
  <cs:plotArea>
    <cs:lnRef idx="0"/>
    <cs:fillRef idx="0"/>
    <cs:effectRef idx="0"/>
    <cs:fontRef idx="minor">
      <a:schemeClr val="dk1"/>
    </cs:fontRef>
    <cs:spPr>
      <a:pattFill prst="ltDnDiag">
        <a:fgClr>
          <a:schemeClr val="dk1">
            <a:lumMod val="15000"/>
            <a:lumOff val="85000"/>
          </a:schemeClr>
        </a:fgClr>
        <a:bgClr>
          <a:schemeClr val="lt1"/>
        </a:bgClr>
      </a:pattFill>
    </cs:spPr>
  </cs:plotArea>
  <cs:plotArea3D>
    <cs:lnRef idx="0"/>
    <cs:fillRef idx="0"/>
    <cs:effectRef idx="0"/>
    <cs:fontRef idx="minor">
      <a:schemeClr val="dk1"/>
    </cs:fontRef>
    <cs:spPr>
      <a:solidFill>
        <a:schemeClr val="lt1"/>
      </a:solidFill>
    </cs:spPr>
  </cs:plotArea3D>
  <cs:seriesAxis>
    <cs:lnRef idx="0"/>
    <cs:fillRef idx="0"/>
    <cs:effectRef idx="0"/>
    <cs:fontRef idx="minor">
      <a:schemeClr val="dk1">
        <a:lumMod val="65000"/>
        <a:lumOff val="35000"/>
      </a:schemeClr>
    </cs:fontRef>
    <cs:defRPr sz="900" kern="1200"/>
  </cs:seriesAxis>
  <cs:seriesLine>
    <cs:lnRef idx="0"/>
    <cs:fillRef idx="0"/>
    <cs:effectRef idx="0"/>
    <cs:fontRef idx="minor">
      <a:schemeClr val="dk1"/>
    </cs:fontRef>
    <cs:spPr>
      <a:ln w="9525" cap="flat" cmpd="sng" algn="ctr">
        <a:solidFill>
          <a:schemeClr val="dk1">
            <a:lumMod val="35000"/>
            <a:lumOff val="65000"/>
          </a:schemeClr>
        </a:solidFill>
        <a:round/>
      </a:ln>
    </cs:spPr>
  </cs:seriesLine>
  <cs:title>
    <cs:lnRef idx="0"/>
    <cs:fillRef idx="0"/>
    <cs:effectRef idx="0"/>
    <cs:fontRef idx="major">
      <a:schemeClr val="dk1">
        <a:lumMod val="50000"/>
        <a:lumOff val="50000"/>
      </a:schemeClr>
    </cs:fontRef>
    <cs:defRPr sz="1600" b="1" kern="1200" cap="none" spc="0" normalizeH="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65000"/>
        <a:lumOff val="35000"/>
      </a:schemeClr>
    </cs:fontRef>
    <cs:defRPr sz="900" kern="1200"/>
  </cs:trendlineLabel>
  <cs:upBar>
    <cs:lnRef idx="0"/>
    <cs:fillRef idx="0"/>
    <cs:effectRef idx="0"/>
    <cs:fontRef idx="minor">
      <a:schemeClr val="dk1"/>
    </cs:fontRef>
    <cs:spPr>
      <a:solidFill>
        <a:schemeClr val="lt1"/>
      </a:solidFill>
      <a:ln w="9525" cap="flat" cmpd="sng" algn="ctr">
        <a:solidFill>
          <a:schemeClr val="dk1">
            <a:lumMod val="50000"/>
            <a:lumOff val="50000"/>
          </a:schemeClr>
        </a:solidFill>
        <a:round/>
      </a:ln>
    </cs:spPr>
  </cs:upBar>
  <cs:valueAxis>
    <cs:lnRef idx="0"/>
    <cs:fillRef idx="0"/>
    <cs:effectRef idx="0"/>
    <cs:fontRef idx="minor">
      <a:schemeClr val="dk1">
        <a:lumMod val="65000"/>
        <a:lumOff val="35000"/>
      </a:schemeClr>
    </cs:fontRef>
    <cs:defRPr sz="900" kern="1200"/>
  </cs:valueAxis>
  <cs:wall>
    <cs:lnRef idx="0"/>
    <cs:fillRef idx="0"/>
    <cs:effectRef idx="0"/>
    <cs:fontRef idx="minor">
      <a:schemeClr val="dk1"/>
    </cs:fontRef>
    <cs:spPr>
      <a:pattFill prst="ltDnDiag">
        <a:fgClr>
          <a:schemeClr val="dk1">
            <a:lumMod val="15000"/>
            <a:lumOff val="85000"/>
          </a:schemeClr>
        </a:fgClr>
        <a:bgClr>
          <a:schemeClr val="lt1"/>
        </a:bgClr>
      </a:pattFill>
    </cs:spPr>
  </cs:wall>
</cs:chartStyle>
</file>

<file path=xl/charts/style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30">
  <cs:axisTitle>
    <cs:lnRef idx="0"/>
    <cs:fillRef idx="0"/>
    <cs:effectRef idx="0"/>
    <cs:fontRef idx="minor">
      <a:schemeClr val="dk1">
        <a:lumMod val="65000"/>
        <a:lumOff val="35000"/>
      </a:schemeClr>
    </cs:fontRef>
    <cs:defRPr sz="900" kern="1200" cap="all"/>
  </cs:axisTitle>
  <cs:categoryAxis>
    <cs:lnRef idx="0"/>
    <cs:fillRef idx="0"/>
    <cs:effectRef idx="0"/>
    <cs:fontRef idx="minor">
      <a:schemeClr val="dk1">
        <a:lumMod val="65000"/>
        <a:lumOff val="35000"/>
      </a:schemeClr>
    </cs:fontRef>
    <cs:spPr>
      <a:ln w="9525" cap="flat" cmpd="sng" algn="ctr">
        <a:solidFill>
          <a:schemeClr val="dk1">
            <a:lumMod val="15000"/>
            <a:lumOff val="85000"/>
          </a:schemeClr>
        </a:solidFill>
        <a:round/>
      </a:ln>
    </cs:spPr>
    <cs:defRPr sz="900" b="0" kern="1200" spc="20" baseline="0"/>
  </cs:categoryAxis>
  <cs:chartArea mods="allowNoLineOverride">
    <cs:lnRef idx="0"/>
    <cs:fillRef idx="0"/>
    <cs:effectRef idx="0"/>
    <cs:fontRef idx="minor">
      <a:schemeClr val="dk1"/>
    </cs:fontRef>
    <cs:spPr>
      <a:solidFill>
        <a:schemeClr val="lt1"/>
      </a:solidFill>
      <a:ln w="9525" cap="flat" cmpd="sng" algn="ctr">
        <a:solidFill>
          <a:schemeClr val="dk1">
            <a:lumMod val="15000"/>
            <a:lumOff val="85000"/>
          </a:schemeClr>
        </a:solidFill>
        <a:round/>
      </a:ln>
    </cs:spPr>
    <cs:defRPr sz="900" kern="1200"/>
  </cs:chartArea>
  <cs:dataLabel>
    <cs:lnRef idx="0"/>
    <cs:fillRef idx="0"/>
    <cs:effectRef idx="0"/>
    <cs:fontRef idx="minor">
      <a:schemeClr val="dk1">
        <a:lumMod val="65000"/>
        <a:lumOff val="3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
  <cs:dataPoint3D>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3D>
  <cs:dataPointLine>
    <cs:lnRef idx="0">
      <cs:styleClr val="auto"/>
    </cs:lnRef>
    <cs:fillRef idx="0"/>
    <cs:effectRef idx="0"/>
    <cs:fontRef idx="minor">
      <a:schemeClr val="dk1"/>
    </cs:fontRef>
    <cs:spPr>
      <a:ln w="22225" cap="rnd" cmpd="sng" algn="ctr">
        <a:solidFill>
          <a:schemeClr val="phClr"/>
        </a:solidFill>
        <a:round/>
      </a:ln>
    </cs:spPr>
  </cs:dataPointLine>
  <cs:dataPointMarker>
    <cs:lnRef idx="0">
      <cs:styleClr val="auto"/>
    </cs:lnRef>
    <cs:fillRef idx="0">
      <cs:styleClr val="auto"/>
    </cs:fillRef>
    <cs:effectRef idx="0"/>
    <cs:fontRef idx="minor">
      <a:schemeClr val="dk1"/>
    </cs:fontRef>
    <cs:spPr>
      <a:solidFill>
        <a:schemeClr val="phClr"/>
      </a:solidFill>
      <a:ln w="9525" cap="flat" cmpd="sng" algn="ctr">
        <a:solidFill>
          <a:schemeClr val="phClr"/>
        </a:solidFill>
        <a:round/>
      </a:ln>
    </cs:spPr>
  </cs:dataPointMarker>
  <cs:dataPointMarkerLayout symbol="circle" size="4"/>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65000"/>
        <a:lumOff val="35000"/>
      </a:schemeClr>
    </cs:fontRef>
    <cs:spPr>
      <a:ln w="9525">
        <a:solidFill>
          <a:schemeClr val="dk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dk1">
            <a:lumMod val="65000"/>
            <a:lumOff val="35000"/>
          </a:schemeClr>
        </a:solidFill>
      </a:ln>
    </cs:spPr>
  </cs:downBar>
  <cs:dropLine>
    <cs:lnRef idx="0"/>
    <cs:fillRef idx="0"/>
    <cs:effectRef idx="0"/>
    <cs:fontRef idx="minor">
      <a:schemeClr val="dk1"/>
    </cs:fontRef>
    <cs:spPr>
      <a:ln w="9525" cap="flat" cmpd="sng" algn="ctr">
        <a:solidFill>
          <a:schemeClr val="dk1">
            <a:lumMod val="35000"/>
            <a:lumOff val="65000"/>
            <a:alpha val="33000"/>
          </a:schemeClr>
        </a:solidFill>
        <a:round/>
      </a:ln>
    </cs:spPr>
  </cs:dropLine>
  <cs:errorBar>
    <cs:lnRef idx="0"/>
    <cs:fillRef idx="0"/>
    <cs:effectRef idx="0"/>
    <cs:fontRef idx="minor">
      <a:schemeClr val="dk1"/>
    </cs:fontRef>
    <cs:spPr>
      <a:ln w="9525">
        <a:solidFill>
          <a:schemeClr val="dk1">
            <a:lumMod val="65000"/>
            <a:lumOff val="35000"/>
          </a:schemeClr>
        </a:solidFill>
      </a:ln>
    </cs:spPr>
  </cs:errorBar>
  <cs:floor>
    <cs:lnRef idx="0"/>
    <cs:fillRef idx="0"/>
    <cs:effectRef idx="0"/>
    <cs:fontRef idx="minor">
      <a:schemeClr val="dk1"/>
    </cs:fontRef>
  </cs:floor>
  <cs:gridlineMajor>
    <cs:lnRef idx="0"/>
    <cs:fillRef idx="0"/>
    <cs:effectRef idx="0"/>
    <cs:fontRef idx="minor">
      <a:schemeClr val="dk1"/>
    </cs:fontRef>
    <cs:spPr>
      <a:ln>
        <a:solidFill>
          <a:schemeClr val="dk1">
            <a:lumMod val="15000"/>
            <a:lumOff val="85000"/>
          </a:schemeClr>
        </a:solidFill>
      </a:ln>
    </cs:spPr>
  </cs:gridlineMajor>
  <cs:gridlineMinor>
    <cs:lnRef idx="0"/>
    <cs:fillRef idx="0"/>
    <cs:effectRef idx="0"/>
    <cs:fontRef idx="minor">
      <a:schemeClr val="dk1"/>
    </cs:fontRef>
    <cs:spPr>
      <a:ln>
        <a:solidFill>
          <a:schemeClr val="dk1">
            <a:lumMod val="5000"/>
            <a:lumOff val="95000"/>
          </a:schemeClr>
        </a:solidFill>
      </a:ln>
    </cs:spPr>
  </cs:gridlineMinor>
  <cs:hiLoLine>
    <cs:lnRef idx="0"/>
    <cs:fillRef idx="0"/>
    <cs:effectRef idx="0"/>
    <cs:fontRef idx="minor">
      <a:schemeClr val="dk1"/>
    </cs:fontRef>
    <cs:spPr>
      <a:ln w="9525">
        <a:solidFill>
          <a:schemeClr val="dk1">
            <a:lumMod val="35000"/>
            <a:lumOff val="65000"/>
          </a:schemeClr>
        </a:solidFill>
      </a:ln>
    </cs:spPr>
  </cs:hiLoLine>
  <cs:leaderLine>
    <cs:lnRef idx="0"/>
    <cs:fillRef idx="0"/>
    <cs:effectRef idx="0"/>
    <cs:fontRef idx="minor">
      <a:schemeClr val="dk1"/>
    </cs:fontRef>
    <cs:spPr>
      <a:ln w="9525">
        <a:solidFill>
          <a:schemeClr val="dk1">
            <a:lumMod val="35000"/>
            <a:lumOff val="65000"/>
          </a:schemeClr>
        </a:solidFill>
      </a:ln>
    </cs:spPr>
  </cs:leaderLine>
  <cs:legend>
    <cs:lnRef idx="0"/>
    <cs:fillRef idx="0"/>
    <cs:effectRef idx="0"/>
    <cs:fontRef idx="minor">
      <a:schemeClr val="dk1">
        <a:lumMod val="65000"/>
        <a:lumOff val="35000"/>
      </a:schemeClr>
    </cs:fontRef>
    <cs:defRPr sz="900" kern="1200"/>
  </cs:legend>
  <cs:plotArea>
    <cs:lnRef idx="0"/>
    <cs:fillRef idx="0"/>
    <cs:effectRef idx="0"/>
    <cs:fontRef idx="minor">
      <a:schemeClr val="dk1"/>
    </cs:fontRef>
    <cs:spPr>
      <a:gradFill>
        <a:gsLst>
          <a:gs pos="100000">
            <a:schemeClr val="lt1">
              <a:lumMod val="95000"/>
            </a:schemeClr>
          </a:gs>
          <a:gs pos="0">
            <a:schemeClr val="lt1"/>
          </a:gs>
        </a:gsLst>
        <a:lin ang="5400000" scaled="0"/>
      </a:gradFill>
    </cs:spPr>
  </cs:plotArea>
  <cs:plotArea3D>
    <cs:lnRef idx="0"/>
    <cs:fillRef idx="0"/>
    <cs:effectRef idx="0"/>
    <cs:fontRef idx="minor">
      <a:schemeClr val="dk1"/>
    </cs:fontRef>
  </cs:plotArea3D>
  <cs:seriesAxis>
    <cs:lnRef idx="0"/>
    <cs:fillRef idx="0"/>
    <cs:effectRef idx="0"/>
    <cs:fontRef idx="minor">
      <a:schemeClr val="dk1">
        <a:lumMod val="65000"/>
        <a:lumOff val="35000"/>
      </a:schemeClr>
    </cs:fontRef>
    <cs:spPr>
      <a:ln w="9525" cap="flat" cmpd="sng" algn="ctr">
        <a:solidFill>
          <a:schemeClr val="dk1">
            <a:lumMod val="15000"/>
            <a:lumOff val="85000"/>
          </a:schemeClr>
        </a:solidFill>
        <a:round/>
      </a:ln>
    </cs:spPr>
    <cs:defRPr sz="900" kern="1200"/>
  </cs:seriesAxis>
  <cs:seriesLine>
    <cs:lnRef idx="0"/>
    <cs:fillRef idx="0"/>
    <cs:effectRef idx="0"/>
    <cs:fontRef idx="minor">
      <a:schemeClr val="dk1"/>
    </cs:fontRef>
    <cs:spPr>
      <a:ln w="9525">
        <a:solidFill>
          <a:schemeClr val="dk1">
            <a:lumMod val="35000"/>
            <a:lumOff val="65000"/>
          </a:schemeClr>
        </a:solidFill>
        <a:prstDash val="dash"/>
      </a:ln>
    </cs:spPr>
  </cs:seriesLine>
  <cs:title>
    <cs:lnRef idx="0"/>
    <cs:fillRef idx="0"/>
    <cs:effectRef idx="0"/>
    <cs:fontRef idx="minor">
      <a:schemeClr val="dk1">
        <a:lumMod val="50000"/>
        <a:lumOff val="50000"/>
      </a:schemeClr>
    </cs:fontRef>
    <cs:defRPr sz="1400" kern="1200" cap="none" spc="20" baseline="0"/>
  </cs:title>
  <cs:trendline>
    <cs:lnRef idx="0">
      <cs:styleClr val="auto"/>
    </cs:lnRef>
    <cs:fillRef idx="0"/>
    <cs:effectRef idx="0"/>
    <cs:fontRef idx="minor">
      <a:schemeClr val="dk1"/>
    </cs:fontRef>
    <cs:spPr>
      <a:ln w="9525" cap="rnd">
        <a:solidFill>
          <a:schemeClr val="phClr"/>
        </a:solidFill>
      </a:ln>
    </cs:spPr>
  </cs:trendline>
  <cs:trendlineLabel>
    <cs:lnRef idx="0"/>
    <cs:fillRef idx="0"/>
    <cs:effectRef idx="0"/>
    <cs:fontRef idx="minor">
      <a:schemeClr val="dk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65000"/>
        <a:lumOff val="35000"/>
      </a:schemeClr>
    </cs:fontRef>
    <cs:defRPr sz="900" kern="1200" spc="20" baseline="0"/>
  </cs:valueAxis>
  <cs:wall>
    <cs:lnRef idx="0"/>
    <cs:fillRef idx="0"/>
    <cs:effectRef idx="0"/>
    <cs:fontRef idx="minor">
      <a:schemeClr val="dk1"/>
    </cs:fontRef>
  </cs:wall>
</cs:chartStyle>
</file>

<file path=xl/charts/style9.xml><?xml version="1.0" encoding="utf-8"?>
<cs:chartStyle xmlns:cs="http://schemas.microsoft.com/office/drawing/2012/chartStyle" xmlns:a="http://schemas.openxmlformats.org/drawingml/2006/main" id="230">
  <cs:axisTitle>
    <cs:lnRef idx="0"/>
    <cs:fillRef idx="0"/>
    <cs:effectRef idx="0"/>
    <cs:fontRef idx="minor">
      <a:schemeClr val="dk1">
        <a:lumMod val="65000"/>
        <a:lumOff val="35000"/>
      </a:schemeClr>
    </cs:fontRef>
    <cs:defRPr sz="900" kern="1200" cap="all"/>
  </cs:axisTitle>
  <cs:categoryAxis>
    <cs:lnRef idx="0"/>
    <cs:fillRef idx="0"/>
    <cs:effectRef idx="0"/>
    <cs:fontRef idx="minor">
      <a:schemeClr val="dk1">
        <a:lumMod val="65000"/>
        <a:lumOff val="35000"/>
      </a:schemeClr>
    </cs:fontRef>
    <cs:spPr>
      <a:ln w="9525" cap="flat" cmpd="sng" algn="ctr">
        <a:solidFill>
          <a:schemeClr val="dk1">
            <a:lumMod val="15000"/>
            <a:lumOff val="85000"/>
          </a:schemeClr>
        </a:solidFill>
        <a:round/>
      </a:ln>
    </cs:spPr>
    <cs:defRPr sz="900" b="0" kern="1200" spc="20" baseline="0"/>
  </cs:categoryAxis>
  <cs:chartArea mods="allowNoLineOverride">
    <cs:lnRef idx="0"/>
    <cs:fillRef idx="0"/>
    <cs:effectRef idx="0"/>
    <cs:fontRef idx="minor">
      <a:schemeClr val="dk1"/>
    </cs:fontRef>
    <cs:spPr>
      <a:solidFill>
        <a:schemeClr val="lt1"/>
      </a:solidFill>
      <a:ln w="9525" cap="flat" cmpd="sng" algn="ctr">
        <a:solidFill>
          <a:schemeClr val="dk1">
            <a:lumMod val="15000"/>
            <a:lumOff val="85000"/>
          </a:schemeClr>
        </a:solidFill>
        <a:round/>
      </a:ln>
    </cs:spPr>
    <cs:defRPr sz="900" kern="1200"/>
  </cs:chartArea>
  <cs:dataLabel>
    <cs:lnRef idx="0"/>
    <cs:fillRef idx="0"/>
    <cs:effectRef idx="0"/>
    <cs:fontRef idx="minor">
      <a:schemeClr val="dk1">
        <a:lumMod val="65000"/>
        <a:lumOff val="3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
  <cs:dataPoint3D>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3D>
  <cs:dataPointLine>
    <cs:lnRef idx="0">
      <cs:styleClr val="auto"/>
    </cs:lnRef>
    <cs:fillRef idx="0"/>
    <cs:effectRef idx="0"/>
    <cs:fontRef idx="minor">
      <a:schemeClr val="dk1"/>
    </cs:fontRef>
    <cs:spPr>
      <a:ln w="22225" cap="rnd" cmpd="sng" algn="ctr">
        <a:solidFill>
          <a:schemeClr val="phClr"/>
        </a:solidFill>
        <a:round/>
      </a:ln>
    </cs:spPr>
  </cs:dataPointLine>
  <cs:dataPointMarker>
    <cs:lnRef idx="0">
      <cs:styleClr val="auto"/>
    </cs:lnRef>
    <cs:fillRef idx="0">
      <cs:styleClr val="auto"/>
    </cs:fillRef>
    <cs:effectRef idx="0"/>
    <cs:fontRef idx="minor">
      <a:schemeClr val="dk1"/>
    </cs:fontRef>
    <cs:spPr>
      <a:solidFill>
        <a:schemeClr val="phClr"/>
      </a:solidFill>
      <a:ln w="9525" cap="flat" cmpd="sng" algn="ctr">
        <a:solidFill>
          <a:schemeClr val="phClr"/>
        </a:solidFill>
        <a:round/>
      </a:ln>
    </cs:spPr>
  </cs:dataPointMarker>
  <cs:dataPointMarkerLayout symbol="circle" size="4"/>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65000"/>
        <a:lumOff val="35000"/>
      </a:schemeClr>
    </cs:fontRef>
    <cs:spPr>
      <a:ln w="9525">
        <a:solidFill>
          <a:schemeClr val="dk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dk1">
            <a:lumMod val="65000"/>
            <a:lumOff val="35000"/>
          </a:schemeClr>
        </a:solidFill>
      </a:ln>
    </cs:spPr>
  </cs:downBar>
  <cs:dropLine>
    <cs:lnRef idx="0"/>
    <cs:fillRef idx="0"/>
    <cs:effectRef idx="0"/>
    <cs:fontRef idx="minor">
      <a:schemeClr val="dk1"/>
    </cs:fontRef>
    <cs:spPr>
      <a:ln w="9525" cap="flat" cmpd="sng" algn="ctr">
        <a:solidFill>
          <a:schemeClr val="dk1">
            <a:lumMod val="35000"/>
            <a:lumOff val="65000"/>
            <a:alpha val="33000"/>
          </a:schemeClr>
        </a:solidFill>
        <a:round/>
      </a:ln>
    </cs:spPr>
  </cs:dropLine>
  <cs:errorBar>
    <cs:lnRef idx="0"/>
    <cs:fillRef idx="0"/>
    <cs:effectRef idx="0"/>
    <cs:fontRef idx="minor">
      <a:schemeClr val="dk1"/>
    </cs:fontRef>
    <cs:spPr>
      <a:ln w="9525">
        <a:solidFill>
          <a:schemeClr val="dk1">
            <a:lumMod val="65000"/>
            <a:lumOff val="35000"/>
          </a:schemeClr>
        </a:solidFill>
      </a:ln>
    </cs:spPr>
  </cs:errorBar>
  <cs:floor>
    <cs:lnRef idx="0"/>
    <cs:fillRef idx="0"/>
    <cs:effectRef idx="0"/>
    <cs:fontRef idx="minor">
      <a:schemeClr val="dk1"/>
    </cs:fontRef>
  </cs:floor>
  <cs:gridlineMajor>
    <cs:lnRef idx="0"/>
    <cs:fillRef idx="0"/>
    <cs:effectRef idx="0"/>
    <cs:fontRef idx="minor">
      <a:schemeClr val="dk1"/>
    </cs:fontRef>
    <cs:spPr>
      <a:ln>
        <a:solidFill>
          <a:schemeClr val="dk1">
            <a:lumMod val="15000"/>
            <a:lumOff val="85000"/>
          </a:schemeClr>
        </a:solidFill>
      </a:ln>
    </cs:spPr>
  </cs:gridlineMajor>
  <cs:gridlineMinor>
    <cs:lnRef idx="0"/>
    <cs:fillRef idx="0"/>
    <cs:effectRef idx="0"/>
    <cs:fontRef idx="minor">
      <a:schemeClr val="dk1"/>
    </cs:fontRef>
    <cs:spPr>
      <a:ln>
        <a:solidFill>
          <a:schemeClr val="dk1">
            <a:lumMod val="5000"/>
            <a:lumOff val="95000"/>
          </a:schemeClr>
        </a:solidFill>
      </a:ln>
    </cs:spPr>
  </cs:gridlineMinor>
  <cs:hiLoLine>
    <cs:lnRef idx="0"/>
    <cs:fillRef idx="0"/>
    <cs:effectRef idx="0"/>
    <cs:fontRef idx="minor">
      <a:schemeClr val="dk1"/>
    </cs:fontRef>
    <cs:spPr>
      <a:ln w="9525">
        <a:solidFill>
          <a:schemeClr val="dk1">
            <a:lumMod val="35000"/>
            <a:lumOff val="65000"/>
          </a:schemeClr>
        </a:solidFill>
      </a:ln>
    </cs:spPr>
  </cs:hiLoLine>
  <cs:leaderLine>
    <cs:lnRef idx="0"/>
    <cs:fillRef idx="0"/>
    <cs:effectRef idx="0"/>
    <cs:fontRef idx="minor">
      <a:schemeClr val="dk1"/>
    </cs:fontRef>
    <cs:spPr>
      <a:ln w="9525">
        <a:solidFill>
          <a:schemeClr val="dk1">
            <a:lumMod val="35000"/>
            <a:lumOff val="65000"/>
          </a:schemeClr>
        </a:solidFill>
      </a:ln>
    </cs:spPr>
  </cs:leaderLine>
  <cs:legend>
    <cs:lnRef idx="0"/>
    <cs:fillRef idx="0"/>
    <cs:effectRef idx="0"/>
    <cs:fontRef idx="minor">
      <a:schemeClr val="dk1">
        <a:lumMod val="65000"/>
        <a:lumOff val="35000"/>
      </a:schemeClr>
    </cs:fontRef>
    <cs:defRPr sz="900" kern="1200"/>
  </cs:legend>
  <cs:plotArea>
    <cs:lnRef idx="0"/>
    <cs:fillRef idx="0"/>
    <cs:effectRef idx="0"/>
    <cs:fontRef idx="minor">
      <a:schemeClr val="dk1"/>
    </cs:fontRef>
    <cs:spPr>
      <a:gradFill>
        <a:gsLst>
          <a:gs pos="100000">
            <a:schemeClr val="lt1">
              <a:lumMod val="95000"/>
            </a:schemeClr>
          </a:gs>
          <a:gs pos="0">
            <a:schemeClr val="lt1"/>
          </a:gs>
        </a:gsLst>
        <a:lin ang="5400000" scaled="0"/>
      </a:gradFill>
    </cs:spPr>
  </cs:plotArea>
  <cs:plotArea3D>
    <cs:lnRef idx="0"/>
    <cs:fillRef idx="0"/>
    <cs:effectRef idx="0"/>
    <cs:fontRef idx="minor">
      <a:schemeClr val="dk1"/>
    </cs:fontRef>
  </cs:plotArea3D>
  <cs:seriesAxis>
    <cs:lnRef idx="0"/>
    <cs:fillRef idx="0"/>
    <cs:effectRef idx="0"/>
    <cs:fontRef idx="minor">
      <a:schemeClr val="dk1">
        <a:lumMod val="65000"/>
        <a:lumOff val="35000"/>
      </a:schemeClr>
    </cs:fontRef>
    <cs:spPr>
      <a:ln w="9525" cap="flat" cmpd="sng" algn="ctr">
        <a:solidFill>
          <a:schemeClr val="dk1">
            <a:lumMod val="15000"/>
            <a:lumOff val="85000"/>
          </a:schemeClr>
        </a:solidFill>
        <a:round/>
      </a:ln>
    </cs:spPr>
    <cs:defRPr sz="900" kern="1200"/>
  </cs:seriesAxis>
  <cs:seriesLine>
    <cs:lnRef idx="0"/>
    <cs:fillRef idx="0"/>
    <cs:effectRef idx="0"/>
    <cs:fontRef idx="minor">
      <a:schemeClr val="dk1"/>
    </cs:fontRef>
    <cs:spPr>
      <a:ln w="9525">
        <a:solidFill>
          <a:schemeClr val="dk1">
            <a:lumMod val="35000"/>
            <a:lumOff val="65000"/>
          </a:schemeClr>
        </a:solidFill>
        <a:prstDash val="dash"/>
      </a:ln>
    </cs:spPr>
  </cs:seriesLine>
  <cs:title>
    <cs:lnRef idx="0"/>
    <cs:fillRef idx="0"/>
    <cs:effectRef idx="0"/>
    <cs:fontRef idx="minor">
      <a:schemeClr val="dk1">
        <a:lumMod val="50000"/>
        <a:lumOff val="50000"/>
      </a:schemeClr>
    </cs:fontRef>
    <cs:defRPr sz="1400" kern="1200" cap="none" spc="20" baseline="0"/>
  </cs:title>
  <cs:trendline>
    <cs:lnRef idx="0">
      <cs:styleClr val="auto"/>
    </cs:lnRef>
    <cs:fillRef idx="0"/>
    <cs:effectRef idx="0"/>
    <cs:fontRef idx="minor">
      <a:schemeClr val="dk1"/>
    </cs:fontRef>
    <cs:spPr>
      <a:ln w="9525" cap="rnd">
        <a:solidFill>
          <a:schemeClr val="phClr"/>
        </a:solidFill>
      </a:ln>
    </cs:spPr>
  </cs:trendline>
  <cs:trendlineLabel>
    <cs:lnRef idx="0"/>
    <cs:fillRef idx="0"/>
    <cs:effectRef idx="0"/>
    <cs:fontRef idx="minor">
      <a:schemeClr val="dk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65000"/>
        <a:lumOff val="35000"/>
      </a:schemeClr>
    </cs:fontRef>
    <cs:defRPr sz="900" kern="1200" spc="20" baseline="0"/>
  </cs:valueAxis>
  <cs:wall>
    <cs:lnRef idx="0"/>
    <cs:fillRef idx="0"/>
    <cs:effectRef idx="0"/>
    <cs:fontRef idx="minor">
      <a:schemeClr val="dk1"/>
    </cs:fontRef>
  </cs:wall>
</cs:chartStyle>
</file>

<file path=xl/charts/style10.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30">
  <cs:axisTitle>
    <cs:lnRef idx="0"/>
    <cs:fillRef idx="0"/>
    <cs:effectRef idx="0"/>
    <cs:fontRef idx="minor">
      <a:schemeClr val="dk1">
        <a:lumMod val="65000"/>
        <a:lumOff val="35000"/>
      </a:schemeClr>
    </cs:fontRef>
    <cs:defRPr sz="900" kern="1200" cap="all"/>
  </cs:axisTitle>
  <cs:categoryAxis>
    <cs:lnRef idx="0"/>
    <cs:fillRef idx="0"/>
    <cs:effectRef idx="0"/>
    <cs:fontRef idx="minor">
      <a:schemeClr val="dk1">
        <a:lumMod val="65000"/>
        <a:lumOff val="35000"/>
      </a:schemeClr>
    </cs:fontRef>
    <cs:spPr>
      <a:ln w="9525" cap="flat" cmpd="sng" algn="ctr">
        <a:solidFill>
          <a:schemeClr val="dk1">
            <a:lumMod val="15000"/>
            <a:lumOff val="85000"/>
          </a:schemeClr>
        </a:solidFill>
        <a:round/>
      </a:ln>
    </cs:spPr>
    <cs:defRPr sz="900" b="0" kern="1200" spc="20" baseline="0"/>
  </cs:categoryAxis>
  <cs:chartArea mods="allowNoLineOverride">
    <cs:lnRef idx="0"/>
    <cs:fillRef idx="0"/>
    <cs:effectRef idx="0"/>
    <cs:fontRef idx="minor">
      <a:schemeClr val="dk1"/>
    </cs:fontRef>
    <cs:spPr>
      <a:solidFill>
        <a:schemeClr val="lt1"/>
      </a:solidFill>
      <a:ln w="9525" cap="flat" cmpd="sng" algn="ctr">
        <a:solidFill>
          <a:schemeClr val="dk1">
            <a:lumMod val="15000"/>
            <a:lumOff val="85000"/>
          </a:schemeClr>
        </a:solidFill>
        <a:round/>
      </a:ln>
    </cs:spPr>
    <cs:defRPr sz="900" kern="1200"/>
  </cs:chartArea>
  <cs:dataLabel>
    <cs:lnRef idx="0"/>
    <cs:fillRef idx="0"/>
    <cs:effectRef idx="0"/>
    <cs:fontRef idx="minor">
      <a:schemeClr val="dk1">
        <a:lumMod val="65000"/>
        <a:lumOff val="3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
  <cs:dataPoint3D>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3D>
  <cs:dataPointLine>
    <cs:lnRef idx="0">
      <cs:styleClr val="auto"/>
    </cs:lnRef>
    <cs:fillRef idx="0"/>
    <cs:effectRef idx="0"/>
    <cs:fontRef idx="minor">
      <a:schemeClr val="dk1"/>
    </cs:fontRef>
    <cs:spPr>
      <a:ln w="22225" cap="rnd" cmpd="sng" algn="ctr">
        <a:solidFill>
          <a:schemeClr val="phClr"/>
        </a:solidFill>
        <a:round/>
      </a:ln>
    </cs:spPr>
  </cs:dataPointLine>
  <cs:dataPointMarker>
    <cs:lnRef idx="0">
      <cs:styleClr val="auto"/>
    </cs:lnRef>
    <cs:fillRef idx="0">
      <cs:styleClr val="auto"/>
    </cs:fillRef>
    <cs:effectRef idx="0"/>
    <cs:fontRef idx="minor">
      <a:schemeClr val="dk1"/>
    </cs:fontRef>
    <cs:spPr>
      <a:solidFill>
        <a:schemeClr val="phClr"/>
      </a:solidFill>
      <a:ln w="9525" cap="flat" cmpd="sng" algn="ctr">
        <a:solidFill>
          <a:schemeClr val="phClr"/>
        </a:solidFill>
        <a:round/>
      </a:ln>
    </cs:spPr>
  </cs:dataPointMarker>
  <cs:dataPointMarkerLayout symbol="circle" size="4"/>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65000"/>
        <a:lumOff val="35000"/>
      </a:schemeClr>
    </cs:fontRef>
    <cs:spPr>
      <a:ln w="9525">
        <a:solidFill>
          <a:schemeClr val="dk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dk1">
            <a:lumMod val="65000"/>
            <a:lumOff val="35000"/>
          </a:schemeClr>
        </a:solidFill>
      </a:ln>
    </cs:spPr>
  </cs:downBar>
  <cs:dropLine>
    <cs:lnRef idx="0"/>
    <cs:fillRef idx="0"/>
    <cs:effectRef idx="0"/>
    <cs:fontRef idx="minor">
      <a:schemeClr val="dk1"/>
    </cs:fontRef>
    <cs:spPr>
      <a:ln w="9525" cap="flat" cmpd="sng" algn="ctr">
        <a:solidFill>
          <a:schemeClr val="dk1">
            <a:lumMod val="35000"/>
            <a:lumOff val="65000"/>
            <a:alpha val="33000"/>
          </a:schemeClr>
        </a:solidFill>
        <a:round/>
      </a:ln>
    </cs:spPr>
  </cs:dropLine>
  <cs:errorBar>
    <cs:lnRef idx="0"/>
    <cs:fillRef idx="0"/>
    <cs:effectRef idx="0"/>
    <cs:fontRef idx="minor">
      <a:schemeClr val="dk1"/>
    </cs:fontRef>
    <cs:spPr>
      <a:ln w="9525">
        <a:solidFill>
          <a:schemeClr val="dk1">
            <a:lumMod val="65000"/>
            <a:lumOff val="35000"/>
          </a:schemeClr>
        </a:solidFill>
      </a:ln>
    </cs:spPr>
  </cs:errorBar>
  <cs:floor>
    <cs:lnRef idx="0"/>
    <cs:fillRef idx="0"/>
    <cs:effectRef idx="0"/>
    <cs:fontRef idx="minor">
      <a:schemeClr val="dk1"/>
    </cs:fontRef>
  </cs:floor>
  <cs:gridlineMajor>
    <cs:lnRef idx="0"/>
    <cs:fillRef idx="0"/>
    <cs:effectRef idx="0"/>
    <cs:fontRef idx="minor">
      <a:schemeClr val="dk1"/>
    </cs:fontRef>
    <cs:spPr>
      <a:ln>
        <a:solidFill>
          <a:schemeClr val="dk1">
            <a:lumMod val="15000"/>
            <a:lumOff val="85000"/>
          </a:schemeClr>
        </a:solidFill>
      </a:ln>
    </cs:spPr>
  </cs:gridlineMajor>
  <cs:gridlineMinor>
    <cs:lnRef idx="0"/>
    <cs:fillRef idx="0"/>
    <cs:effectRef idx="0"/>
    <cs:fontRef idx="minor">
      <a:schemeClr val="dk1"/>
    </cs:fontRef>
    <cs:spPr>
      <a:ln>
        <a:solidFill>
          <a:schemeClr val="dk1">
            <a:lumMod val="5000"/>
            <a:lumOff val="95000"/>
          </a:schemeClr>
        </a:solidFill>
      </a:ln>
    </cs:spPr>
  </cs:gridlineMinor>
  <cs:hiLoLine>
    <cs:lnRef idx="0"/>
    <cs:fillRef idx="0"/>
    <cs:effectRef idx="0"/>
    <cs:fontRef idx="minor">
      <a:schemeClr val="dk1"/>
    </cs:fontRef>
    <cs:spPr>
      <a:ln w="9525">
        <a:solidFill>
          <a:schemeClr val="dk1">
            <a:lumMod val="35000"/>
            <a:lumOff val="65000"/>
          </a:schemeClr>
        </a:solidFill>
      </a:ln>
    </cs:spPr>
  </cs:hiLoLine>
  <cs:leaderLine>
    <cs:lnRef idx="0"/>
    <cs:fillRef idx="0"/>
    <cs:effectRef idx="0"/>
    <cs:fontRef idx="minor">
      <a:schemeClr val="dk1"/>
    </cs:fontRef>
    <cs:spPr>
      <a:ln w="9525">
        <a:solidFill>
          <a:schemeClr val="dk1">
            <a:lumMod val="35000"/>
            <a:lumOff val="65000"/>
          </a:schemeClr>
        </a:solidFill>
      </a:ln>
    </cs:spPr>
  </cs:leaderLine>
  <cs:legend>
    <cs:lnRef idx="0"/>
    <cs:fillRef idx="0"/>
    <cs:effectRef idx="0"/>
    <cs:fontRef idx="minor">
      <a:schemeClr val="dk1">
        <a:lumMod val="65000"/>
        <a:lumOff val="35000"/>
      </a:schemeClr>
    </cs:fontRef>
    <cs:defRPr sz="900" kern="1200"/>
  </cs:legend>
  <cs:plotArea>
    <cs:lnRef idx="0"/>
    <cs:fillRef idx="0"/>
    <cs:effectRef idx="0"/>
    <cs:fontRef idx="minor">
      <a:schemeClr val="dk1"/>
    </cs:fontRef>
    <cs:spPr>
      <a:gradFill>
        <a:gsLst>
          <a:gs pos="100000">
            <a:schemeClr val="lt1">
              <a:lumMod val="95000"/>
            </a:schemeClr>
          </a:gs>
          <a:gs pos="0">
            <a:schemeClr val="lt1"/>
          </a:gs>
        </a:gsLst>
        <a:lin ang="5400000" scaled="0"/>
      </a:gradFill>
    </cs:spPr>
  </cs:plotArea>
  <cs:plotArea3D>
    <cs:lnRef idx="0"/>
    <cs:fillRef idx="0"/>
    <cs:effectRef idx="0"/>
    <cs:fontRef idx="minor">
      <a:schemeClr val="dk1"/>
    </cs:fontRef>
  </cs:plotArea3D>
  <cs:seriesAxis>
    <cs:lnRef idx="0"/>
    <cs:fillRef idx="0"/>
    <cs:effectRef idx="0"/>
    <cs:fontRef idx="minor">
      <a:schemeClr val="dk1">
        <a:lumMod val="65000"/>
        <a:lumOff val="35000"/>
      </a:schemeClr>
    </cs:fontRef>
    <cs:spPr>
      <a:ln w="9525" cap="flat" cmpd="sng" algn="ctr">
        <a:solidFill>
          <a:schemeClr val="dk1">
            <a:lumMod val="15000"/>
            <a:lumOff val="85000"/>
          </a:schemeClr>
        </a:solidFill>
        <a:round/>
      </a:ln>
    </cs:spPr>
    <cs:defRPr sz="900" kern="1200"/>
  </cs:seriesAxis>
  <cs:seriesLine>
    <cs:lnRef idx="0"/>
    <cs:fillRef idx="0"/>
    <cs:effectRef idx="0"/>
    <cs:fontRef idx="minor">
      <a:schemeClr val="dk1"/>
    </cs:fontRef>
    <cs:spPr>
      <a:ln w="9525">
        <a:solidFill>
          <a:schemeClr val="dk1">
            <a:lumMod val="35000"/>
            <a:lumOff val="65000"/>
          </a:schemeClr>
        </a:solidFill>
        <a:prstDash val="dash"/>
      </a:ln>
    </cs:spPr>
  </cs:seriesLine>
  <cs:title>
    <cs:lnRef idx="0"/>
    <cs:fillRef idx="0"/>
    <cs:effectRef idx="0"/>
    <cs:fontRef idx="minor">
      <a:schemeClr val="dk1">
        <a:lumMod val="50000"/>
        <a:lumOff val="50000"/>
      </a:schemeClr>
    </cs:fontRef>
    <cs:defRPr sz="1400" kern="1200" cap="none" spc="20" baseline="0"/>
  </cs:title>
  <cs:trendline>
    <cs:lnRef idx="0">
      <cs:styleClr val="auto"/>
    </cs:lnRef>
    <cs:fillRef idx="0"/>
    <cs:effectRef idx="0"/>
    <cs:fontRef idx="minor">
      <a:schemeClr val="dk1"/>
    </cs:fontRef>
    <cs:spPr>
      <a:ln w="9525" cap="rnd">
        <a:solidFill>
          <a:schemeClr val="phClr"/>
        </a:solidFill>
      </a:ln>
    </cs:spPr>
  </cs:trendline>
  <cs:trendlineLabel>
    <cs:lnRef idx="0"/>
    <cs:fillRef idx="0"/>
    <cs:effectRef idx="0"/>
    <cs:fontRef idx="minor">
      <a:schemeClr val="dk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65000"/>
        <a:lumOff val="35000"/>
      </a:schemeClr>
    </cs:fontRef>
    <cs:defRPr sz="900" kern="1200" spc="20" baseline="0"/>
  </cs:valueAxis>
  <cs:wall>
    <cs:lnRef idx="0"/>
    <cs:fillRef idx="0"/>
    <cs:effectRef idx="0"/>
    <cs:fontRef idx="minor">
      <a:schemeClr val="dk1"/>
    </cs:fontRef>
  </cs:wall>
</cs:chartStyle>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8" Type="http://schemas.openxmlformats.org/officeDocument/2006/relationships/chart" Target="../charts/chart8.xml"/><Relationship Id="rId13" Type="http://schemas.openxmlformats.org/officeDocument/2006/relationships/image" Target="../media/image2.jpeg"/><Relationship Id="rId18" Type="http://schemas.openxmlformats.org/officeDocument/2006/relationships/hyperlink" Target="https://www.facebook.com/SponsorLaosOfficial" TargetMode="External"/><Relationship Id="rId3" Type="http://schemas.openxmlformats.org/officeDocument/2006/relationships/chart" Target="../charts/chart3.xml"/><Relationship Id="rId7" Type="http://schemas.openxmlformats.org/officeDocument/2006/relationships/chart" Target="../charts/chart7.xml"/><Relationship Id="rId12" Type="http://schemas.openxmlformats.org/officeDocument/2006/relationships/hyperlink" Target="https://www.facebook.com/M150Laos" TargetMode="External"/><Relationship Id="rId17" Type="http://schemas.openxmlformats.org/officeDocument/2006/relationships/image" Target="../media/image4.jpeg"/><Relationship Id="rId2" Type="http://schemas.openxmlformats.org/officeDocument/2006/relationships/chart" Target="../charts/chart2.xml"/><Relationship Id="rId16" Type="http://schemas.openxmlformats.org/officeDocument/2006/relationships/hyperlink" Target="https://www.facebook.com/carabaola" TargetMode="External"/><Relationship Id="rId1" Type="http://schemas.openxmlformats.org/officeDocument/2006/relationships/chart" Target="../charts/chart1.xml"/><Relationship Id="rId6" Type="http://schemas.openxmlformats.org/officeDocument/2006/relationships/chart" Target="../charts/chart6.xml"/><Relationship Id="rId11" Type="http://schemas.openxmlformats.org/officeDocument/2006/relationships/chart" Target="../charts/chart11.xml"/><Relationship Id="rId5" Type="http://schemas.openxmlformats.org/officeDocument/2006/relationships/chart" Target="../charts/chart5.xml"/><Relationship Id="rId15" Type="http://schemas.openxmlformats.org/officeDocument/2006/relationships/image" Target="../media/image3.png"/><Relationship Id="rId10" Type="http://schemas.openxmlformats.org/officeDocument/2006/relationships/chart" Target="../charts/chart10.xml"/><Relationship Id="rId19" Type="http://schemas.openxmlformats.org/officeDocument/2006/relationships/image" Target="../media/image5.jpeg"/><Relationship Id="rId4" Type="http://schemas.openxmlformats.org/officeDocument/2006/relationships/chart" Target="../charts/chart4.xml"/><Relationship Id="rId9" Type="http://schemas.openxmlformats.org/officeDocument/2006/relationships/chart" Target="../charts/chart9.xml"/><Relationship Id="rId14" Type="http://schemas.openxmlformats.org/officeDocument/2006/relationships/hyperlink" Target="https://www.facebook.com/StingLaos" TargetMode="External"/></Relationships>
</file>

<file path=xl/drawings/drawing1.xml><?xml version="1.0" encoding="utf-8"?>
<xdr:wsDr xmlns:xdr="http://schemas.openxmlformats.org/drawingml/2006/spreadsheetDrawing" xmlns:a="http://schemas.openxmlformats.org/drawingml/2006/main">
  <xdr:twoCellAnchor editAs="oneCell">
    <xdr:from>
      <xdr:col>11</xdr:col>
      <xdr:colOff>0</xdr:colOff>
      <xdr:row>4</xdr:row>
      <xdr:rowOff>0</xdr:rowOff>
    </xdr:from>
    <xdr:to>
      <xdr:col>15</xdr:col>
      <xdr:colOff>533815</xdr:colOff>
      <xdr:row>7</xdr:row>
      <xdr:rowOff>74088</xdr:rowOff>
    </xdr:to>
    <xdr:pic>
      <xdr:nvPicPr>
        <xdr:cNvPr id="9" name="Picture 8">
          <a:extLst>
            <a:ext uri="{FF2B5EF4-FFF2-40B4-BE49-F238E27FC236}">
              <a16:creationId xmlns:a16="http://schemas.microsoft.com/office/drawing/2014/main" id="{3A2CA8E9-0259-F2A6-8216-9CB46A79FB8F}"/>
            </a:ext>
          </a:extLst>
        </xdr:cNvPr>
        <xdr:cNvPicPr>
          <a:picLocks noChangeAspect="1"/>
        </xdr:cNvPicPr>
      </xdr:nvPicPr>
      <xdr:blipFill>
        <a:blip xmlns:r="http://schemas.openxmlformats.org/officeDocument/2006/relationships" r:embed="rId1"/>
        <a:stretch>
          <a:fillRect/>
        </a:stretch>
      </xdr:blipFill>
      <xdr:spPr>
        <a:xfrm>
          <a:off x="8382000" y="801757"/>
          <a:ext cx="2972215" cy="630679"/>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oneCellAnchor>
    <xdr:from>
      <xdr:col>1</xdr:col>
      <xdr:colOff>22412</xdr:colOff>
      <xdr:row>1</xdr:row>
      <xdr:rowOff>27900</xdr:rowOff>
    </xdr:from>
    <xdr:ext cx="2868706" cy="292704"/>
    <xdr:sp macro="" textlink="">
      <xdr:nvSpPr>
        <xdr:cNvPr id="6" name="Rectangle: Rounded Corners 5">
          <a:extLst>
            <a:ext uri="{FF2B5EF4-FFF2-40B4-BE49-F238E27FC236}">
              <a16:creationId xmlns:a16="http://schemas.microsoft.com/office/drawing/2014/main" id="{00000000-0008-0000-0300-000006000000}"/>
            </a:ext>
          </a:extLst>
        </xdr:cNvPr>
        <xdr:cNvSpPr>
          <a:spLocks noChangeAspect="1"/>
        </xdr:cNvSpPr>
      </xdr:nvSpPr>
      <xdr:spPr>
        <a:xfrm>
          <a:off x="212912" y="868341"/>
          <a:ext cx="2868706" cy="292704"/>
        </a:xfrm>
        <a:prstGeom prst="roundRect">
          <a:avLst/>
        </a:prstGeom>
        <a:ln>
          <a:noFill/>
        </a:ln>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ctr">
          <a:spAutoFit/>
        </a:bodyPr>
        <a:lstStyle/>
        <a:p>
          <a:pPr algn="ctr"/>
          <a:r>
            <a:rPr lang="en-US" sz="1100"/>
            <a:t>Impression</a:t>
          </a:r>
        </a:p>
      </xdr:txBody>
    </xdr:sp>
    <xdr:clientData/>
  </xdr:oneCellAnchor>
  <xdr:oneCellAnchor>
    <xdr:from>
      <xdr:col>4</xdr:col>
      <xdr:colOff>11205</xdr:colOff>
      <xdr:row>1</xdr:row>
      <xdr:rowOff>27340</xdr:rowOff>
    </xdr:from>
    <xdr:ext cx="2061883" cy="292704"/>
    <xdr:sp macro="" textlink="">
      <xdr:nvSpPr>
        <xdr:cNvPr id="7" name="Rectangle: Rounded Corners 6">
          <a:extLst>
            <a:ext uri="{FF2B5EF4-FFF2-40B4-BE49-F238E27FC236}">
              <a16:creationId xmlns:a16="http://schemas.microsoft.com/office/drawing/2014/main" id="{00000000-0008-0000-0300-000007000000}"/>
            </a:ext>
          </a:extLst>
        </xdr:cNvPr>
        <xdr:cNvSpPr>
          <a:spLocks noChangeAspect="1"/>
        </xdr:cNvSpPr>
      </xdr:nvSpPr>
      <xdr:spPr>
        <a:xfrm>
          <a:off x="3809999" y="867781"/>
          <a:ext cx="2061883" cy="292704"/>
        </a:xfrm>
        <a:prstGeom prst="roundRect">
          <a:avLst/>
        </a:prstGeom>
        <a:solidFill>
          <a:srgbClr val="9751CB"/>
        </a:solidFill>
        <a:ln>
          <a:noFill/>
        </a:ln>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ctr">
          <a:spAutoFit/>
        </a:bodyPr>
        <a:lstStyle/>
        <a:p>
          <a:pPr algn="ctr"/>
          <a:r>
            <a:rPr lang="en-US" sz="1100"/>
            <a:t>Reach</a:t>
          </a:r>
        </a:p>
      </xdr:txBody>
    </xdr:sp>
    <xdr:clientData/>
  </xdr:oneCellAnchor>
  <xdr:oneCellAnchor>
    <xdr:from>
      <xdr:col>7</xdr:col>
      <xdr:colOff>0</xdr:colOff>
      <xdr:row>1</xdr:row>
      <xdr:rowOff>33503</xdr:rowOff>
    </xdr:from>
    <xdr:ext cx="4011705" cy="292704"/>
    <xdr:sp macro="" textlink="">
      <xdr:nvSpPr>
        <xdr:cNvPr id="11" name="Rectangle: Rounded Corners 10">
          <a:extLst>
            <a:ext uri="{FF2B5EF4-FFF2-40B4-BE49-F238E27FC236}">
              <a16:creationId xmlns:a16="http://schemas.microsoft.com/office/drawing/2014/main" id="{00000000-0008-0000-0300-00000B000000}"/>
            </a:ext>
          </a:extLst>
        </xdr:cNvPr>
        <xdr:cNvSpPr>
          <a:spLocks noChangeAspect="1"/>
        </xdr:cNvSpPr>
      </xdr:nvSpPr>
      <xdr:spPr>
        <a:xfrm>
          <a:off x="6342529" y="873944"/>
          <a:ext cx="4011705" cy="292704"/>
        </a:xfrm>
        <a:prstGeom prst="roundRect">
          <a:avLst/>
        </a:prstGeom>
        <a:gradFill>
          <a:gsLst>
            <a:gs pos="0">
              <a:schemeClr val="accent1">
                <a:lumMod val="5000"/>
                <a:lumOff val="95000"/>
              </a:schemeClr>
            </a:gs>
            <a:gs pos="0">
              <a:srgbClr val="00B050"/>
            </a:gs>
            <a:gs pos="100000">
              <a:srgbClr val="FF0000"/>
            </a:gs>
          </a:gsLst>
          <a:lin ang="3000000" scaled="0"/>
        </a:gradFill>
        <a:ln>
          <a:noFill/>
        </a:ln>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ctr">
          <a:spAutoFit/>
        </a:bodyPr>
        <a:lstStyle/>
        <a:p>
          <a:pPr algn="ctr"/>
          <a:r>
            <a:rPr lang="en-US" sz="1100"/>
            <a:t>Engagement and Video View</a:t>
          </a:r>
        </a:p>
      </xdr:txBody>
    </xdr:sp>
    <xdr:clientData/>
  </xdr:oneCellAnchor>
  <xdr:oneCellAnchor>
    <xdr:from>
      <xdr:col>11</xdr:col>
      <xdr:colOff>9380</xdr:colOff>
      <xdr:row>1</xdr:row>
      <xdr:rowOff>34623</xdr:rowOff>
    </xdr:from>
    <xdr:ext cx="2152924" cy="292704"/>
    <xdr:sp macro="" textlink="">
      <xdr:nvSpPr>
        <xdr:cNvPr id="2" name="Rectangle: Rounded Corners 1">
          <a:extLst>
            <a:ext uri="{FF2B5EF4-FFF2-40B4-BE49-F238E27FC236}">
              <a16:creationId xmlns:a16="http://schemas.microsoft.com/office/drawing/2014/main" id="{00000000-0008-0000-0300-000002000000}"/>
            </a:ext>
          </a:extLst>
        </xdr:cNvPr>
        <xdr:cNvSpPr>
          <a:spLocks noChangeAspect="1"/>
        </xdr:cNvSpPr>
      </xdr:nvSpPr>
      <xdr:spPr>
        <a:xfrm>
          <a:off x="10643762" y="875064"/>
          <a:ext cx="2152924" cy="292704"/>
        </a:xfrm>
        <a:prstGeom prst="roundRect">
          <a:avLst/>
        </a:prstGeom>
        <a:gradFill>
          <a:gsLst>
            <a:gs pos="0">
              <a:schemeClr val="accent1">
                <a:lumMod val="5000"/>
                <a:lumOff val="95000"/>
              </a:schemeClr>
            </a:gs>
            <a:gs pos="0">
              <a:srgbClr val="00B050"/>
            </a:gs>
          </a:gsLst>
          <a:lin ang="3000000" scaled="0"/>
        </a:gradFill>
        <a:ln>
          <a:noFill/>
        </a:ln>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ctr">
          <a:spAutoFit/>
        </a:bodyPr>
        <a:lstStyle/>
        <a:p>
          <a:pPr algn="ctr"/>
          <a:r>
            <a:rPr lang="en-US" sz="1100"/>
            <a:t>Engagement </a:t>
          </a:r>
        </a:p>
      </xdr:txBody>
    </xdr:sp>
    <xdr:clientData/>
  </xdr:oneCellAnchor>
  <xdr:oneCellAnchor>
    <xdr:from>
      <xdr:col>14</xdr:col>
      <xdr:colOff>14872</xdr:colOff>
      <xdr:row>1</xdr:row>
      <xdr:rowOff>42467</xdr:rowOff>
    </xdr:from>
    <xdr:ext cx="2482747" cy="292704"/>
    <xdr:sp macro="" textlink="">
      <xdr:nvSpPr>
        <xdr:cNvPr id="3" name="Rectangle: Rounded Corners 2">
          <a:extLst>
            <a:ext uri="{FF2B5EF4-FFF2-40B4-BE49-F238E27FC236}">
              <a16:creationId xmlns:a16="http://schemas.microsoft.com/office/drawing/2014/main" id="{00000000-0008-0000-0300-000003000000}"/>
            </a:ext>
          </a:extLst>
        </xdr:cNvPr>
        <xdr:cNvSpPr>
          <a:spLocks noChangeAspect="1"/>
        </xdr:cNvSpPr>
      </xdr:nvSpPr>
      <xdr:spPr>
        <a:xfrm>
          <a:off x="13181784" y="882908"/>
          <a:ext cx="2482747" cy="292704"/>
        </a:xfrm>
        <a:prstGeom prst="roundRect">
          <a:avLst/>
        </a:prstGeom>
        <a:gradFill>
          <a:gsLst>
            <a:gs pos="37000">
              <a:srgbClr val="C00000"/>
            </a:gs>
            <a:gs pos="100000">
              <a:srgbClr val="FF0000"/>
            </a:gs>
          </a:gsLst>
          <a:lin ang="3000000" scaled="0"/>
        </a:gradFill>
        <a:ln>
          <a:noFill/>
        </a:ln>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ctr">
          <a:spAutoFit/>
        </a:bodyPr>
        <a:lstStyle/>
        <a:p>
          <a:pPr algn="ctr"/>
          <a:r>
            <a:rPr lang="en-US" sz="1100"/>
            <a:t>Video View</a:t>
          </a:r>
        </a:p>
      </xdr:txBody>
    </xdr:sp>
    <xdr:clientData/>
  </xdr:oneCellAnchor>
  <xdr:oneCellAnchor>
    <xdr:from>
      <xdr:col>1</xdr:col>
      <xdr:colOff>0</xdr:colOff>
      <xdr:row>16</xdr:row>
      <xdr:rowOff>39059</xdr:rowOff>
    </xdr:from>
    <xdr:ext cx="2913529" cy="292704"/>
    <xdr:sp macro="" textlink="">
      <xdr:nvSpPr>
        <xdr:cNvPr id="10" name="Rectangle: Rounded Corners 9">
          <a:extLst>
            <a:ext uri="{FF2B5EF4-FFF2-40B4-BE49-F238E27FC236}">
              <a16:creationId xmlns:a16="http://schemas.microsoft.com/office/drawing/2014/main" id="{00000000-0008-0000-0300-00000A000000}"/>
            </a:ext>
          </a:extLst>
        </xdr:cNvPr>
        <xdr:cNvSpPr>
          <a:spLocks noChangeAspect="1"/>
        </xdr:cNvSpPr>
      </xdr:nvSpPr>
      <xdr:spPr>
        <a:xfrm>
          <a:off x="190500" y="3905088"/>
          <a:ext cx="2913529" cy="292704"/>
        </a:xfrm>
        <a:prstGeom prst="roundRect">
          <a:avLst/>
        </a:prstGeom>
        <a:solidFill>
          <a:srgbClr val="00B050"/>
        </a:solidFill>
        <a:ln>
          <a:noFill/>
        </a:ln>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ctr">
          <a:spAutoFit/>
        </a:bodyPr>
        <a:lstStyle/>
        <a:p>
          <a:pPr algn="ctr"/>
          <a:r>
            <a:rPr lang="en-US" sz="1100"/>
            <a:t>Users Input</a:t>
          </a:r>
        </a:p>
      </xdr:txBody>
    </xdr:sp>
    <xdr:clientData/>
  </xdr:oneCellAnchor>
  <xdr:twoCellAnchor editAs="absolute">
    <xdr:from>
      <xdr:col>1</xdr:col>
      <xdr:colOff>16921</xdr:colOff>
      <xdr:row>0</xdr:row>
      <xdr:rowOff>18378</xdr:rowOff>
    </xdr:from>
    <xdr:to>
      <xdr:col>16</xdr:col>
      <xdr:colOff>112059</xdr:colOff>
      <xdr:row>0</xdr:row>
      <xdr:rowOff>787587</xdr:rowOff>
    </xdr:to>
    <xdr:sp macro="" textlink="">
      <xdr:nvSpPr>
        <xdr:cNvPr id="16" name="Rectangle 15">
          <a:extLst>
            <a:ext uri="{FF2B5EF4-FFF2-40B4-BE49-F238E27FC236}">
              <a16:creationId xmlns:a16="http://schemas.microsoft.com/office/drawing/2014/main" id="{00000000-0008-0000-0300-000010000000}"/>
            </a:ext>
          </a:extLst>
        </xdr:cNvPr>
        <xdr:cNvSpPr>
          <a:spLocks noChangeAspect="1"/>
        </xdr:cNvSpPr>
      </xdr:nvSpPr>
      <xdr:spPr>
        <a:xfrm>
          <a:off x="201706" y="33618"/>
          <a:ext cx="16270941" cy="750794"/>
        </a:xfrm>
        <a:prstGeom prst="rect">
          <a:avLst/>
        </a:prstGeom>
        <a:ln>
          <a:noFill/>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rtlCol="0" anchor="ctr"/>
        <a:lstStyle/>
        <a:p>
          <a:pPr algn="ctr"/>
          <a:r>
            <a:rPr lang="en-US" sz="2800"/>
            <a:t>PIVOT</a:t>
          </a:r>
          <a:r>
            <a:rPr lang="en-US" sz="2800" baseline="0"/>
            <a:t> DATA</a:t>
          </a:r>
          <a:endParaRPr lang="en-US" sz="2800"/>
        </a:p>
      </xdr:txBody>
    </xdr:sp>
    <xdr:clientData/>
  </xdr:twoCellAnchor>
  <xdr:oneCellAnchor>
    <xdr:from>
      <xdr:col>4</xdr:col>
      <xdr:colOff>22413</xdr:colOff>
      <xdr:row>16</xdr:row>
      <xdr:rowOff>49752</xdr:rowOff>
    </xdr:from>
    <xdr:ext cx="2061882" cy="292704"/>
    <xdr:sp macro="" textlink="">
      <xdr:nvSpPr>
        <xdr:cNvPr id="17" name="Rectangle: Rounded Corners 16">
          <a:extLst>
            <a:ext uri="{FF2B5EF4-FFF2-40B4-BE49-F238E27FC236}">
              <a16:creationId xmlns:a16="http://schemas.microsoft.com/office/drawing/2014/main" id="{00000000-0008-0000-0300-000011000000}"/>
            </a:ext>
          </a:extLst>
        </xdr:cNvPr>
        <xdr:cNvSpPr>
          <a:spLocks noChangeAspect="1"/>
        </xdr:cNvSpPr>
      </xdr:nvSpPr>
      <xdr:spPr>
        <a:xfrm>
          <a:off x="3821207" y="3915781"/>
          <a:ext cx="2061882" cy="292704"/>
        </a:xfrm>
        <a:prstGeom prst="roundRect">
          <a:avLst/>
        </a:prstGeom>
        <a:solidFill>
          <a:schemeClr val="accent1"/>
        </a:solidFill>
        <a:ln>
          <a:noFill/>
        </a:ln>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ctr">
          <a:spAutoFit/>
        </a:bodyPr>
        <a:lstStyle/>
        <a:p>
          <a:pPr algn="ctr"/>
          <a:r>
            <a:rPr lang="en-US" sz="1100"/>
            <a:t>Follower</a:t>
          </a:r>
        </a:p>
      </xdr:txBody>
    </xdr:sp>
    <xdr:clientData/>
  </xdr:oneCellAnchor>
  <xdr:oneCellAnchor>
    <xdr:from>
      <xdr:col>14</xdr:col>
      <xdr:colOff>11205</xdr:colOff>
      <xdr:row>16</xdr:row>
      <xdr:rowOff>27339</xdr:rowOff>
    </xdr:from>
    <xdr:ext cx="2472763" cy="292704"/>
    <xdr:sp macro="" textlink="">
      <xdr:nvSpPr>
        <xdr:cNvPr id="20" name="Rectangle: Rounded Corners 19">
          <a:extLst>
            <a:ext uri="{FF2B5EF4-FFF2-40B4-BE49-F238E27FC236}">
              <a16:creationId xmlns:a16="http://schemas.microsoft.com/office/drawing/2014/main" id="{00000000-0008-0000-0300-000014000000}"/>
            </a:ext>
          </a:extLst>
        </xdr:cNvPr>
        <xdr:cNvSpPr>
          <a:spLocks noChangeAspect="1"/>
        </xdr:cNvSpPr>
      </xdr:nvSpPr>
      <xdr:spPr>
        <a:xfrm>
          <a:off x="13178117" y="3893368"/>
          <a:ext cx="2472763" cy="292704"/>
        </a:xfrm>
        <a:prstGeom prst="roundRect">
          <a:avLst/>
        </a:prstGeom>
        <a:solidFill>
          <a:schemeClr val="accent1"/>
        </a:solidFill>
        <a:ln>
          <a:noFill/>
        </a:ln>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ctr">
          <a:spAutoFit/>
        </a:bodyPr>
        <a:lstStyle/>
        <a:p>
          <a:pPr algn="ctr"/>
          <a:r>
            <a:rPr lang="en-US" sz="1100"/>
            <a:t>Page Visit</a:t>
          </a:r>
        </a:p>
      </xdr:txBody>
    </xdr:sp>
    <xdr:clientData/>
  </xdr:oneCellAnchor>
  <xdr:oneCellAnchor>
    <xdr:from>
      <xdr:col>7</xdr:col>
      <xdr:colOff>22412</xdr:colOff>
      <xdr:row>16</xdr:row>
      <xdr:rowOff>40341</xdr:rowOff>
    </xdr:from>
    <xdr:ext cx="4011706" cy="295836"/>
    <xdr:sp macro="" textlink="">
      <xdr:nvSpPr>
        <xdr:cNvPr id="23" name="Rectangle: Rounded Corners 22">
          <a:extLst>
            <a:ext uri="{FF2B5EF4-FFF2-40B4-BE49-F238E27FC236}">
              <a16:creationId xmlns:a16="http://schemas.microsoft.com/office/drawing/2014/main" id="{00000000-0008-0000-0300-000017000000}"/>
            </a:ext>
          </a:extLst>
        </xdr:cNvPr>
        <xdr:cNvSpPr>
          <a:spLocks noChangeAspect="1"/>
        </xdr:cNvSpPr>
      </xdr:nvSpPr>
      <xdr:spPr>
        <a:xfrm>
          <a:off x="6364941" y="3906370"/>
          <a:ext cx="4011706" cy="295836"/>
        </a:xfrm>
        <a:prstGeom prst="roundRect">
          <a:avLst/>
        </a:prstGeom>
        <a:solidFill>
          <a:srgbClr val="00B050"/>
        </a:solidFill>
        <a:ln>
          <a:noFill/>
        </a:ln>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ctr">
          <a:spAutoFit/>
        </a:bodyPr>
        <a:lstStyle/>
        <a:p>
          <a:pPr algn="ctr"/>
          <a:r>
            <a:rPr lang="en-US" sz="1100">
              <a:solidFill>
                <a:schemeClr val="lt1"/>
              </a:solidFill>
              <a:effectLst/>
              <a:latin typeface="+mn-lt"/>
              <a:ea typeface="+mn-ea"/>
              <a:cs typeface="+mn-cs"/>
            </a:rPr>
            <a:t>Competitor Follower </a:t>
          </a:r>
          <a:endParaRPr lang="en-US">
            <a:effectLst/>
          </a:endParaRPr>
        </a:p>
      </xdr:txBody>
    </xdr:sp>
    <xdr:clientData/>
  </xdr:oneCellAnchor>
  <xdr:oneCellAnchor>
    <xdr:from>
      <xdr:col>11</xdr:col>
      <xdr:colOff>10460</xdr:colOff>
      <xdr:row>16</xdr:row>
      <xdr:rowOff>34063</xdr:rowOff>
    </xdr:from>
    <xdr:ext cx="2107452" cy="292704"/>
    <xdr:sp macro="" textlink="">
      <xdr:nvSpPr>
        <xdr:cNvPr id="36" name="Rectangle: Rounded Corners 35">
          <a:extLst>
            <a:ext uri="{FF2B5EF4-FFF2-40B4-BE49-F238E27FC236}">
              <a16:creationId xmlns:a16="http://schemas.microsoft.com/office/drawing/2014/main" id="{00000000-0008-0000-0300-000024000000}"/>
            </a:ext>
          </a:extLst>
        </xdr:cNvPr>
        <xdr:cNvSpPr>
          <a:spLocks noChangeAspect="1"/>
        </xdr:cNvSpPr>
      </xdr:nvSpPr>
      <xdr:spPr>
        <a:xfrm>
          <a:off x="10644842" y="3900092"/>
          <a:ext cx="2107452" cy="292704"/>
        </a:xfrm>
        <a:prstGeom prst="roundRect">
          <a:avLst/>
        </a:prstGeom>
        <a:solidFill>
          <a:srgbClr val="00B050"/>
        </a:solidFill>
        <a:ln>
          <a:noFill/>
        </a:ln>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ctr">
          <a:spAutoFit/>
        </a:bodyPr>
        <a:lstStyle/>
        <a:p>
          <a:pPr algn="ctr"/>
          <a:r>
            <a:rPr lang="en-US" sz="1100">
              <a:solidFill>
                <a:schemeClr val="lt1"/>
              </a:solidFill>
              <a:effectLst/>
              <a:latin typeface="+mn-lt"/>
              <a:ea typeface="+mn-ea"/>
              <a:cs typeface="+mn-cs"/>
            </a:rPr>
            <a:t>Competitor posts</a:t>
          </a:r>
          <a:endParaRPr lang="en-US">
            <a:effectLst/>
          </a:endParaRPr>
        </a:p>
      </xdr:txBody>
    </xdr:sp>
    <xdr:clientData/>
  </xdr:oneCellAnchor>
  <xdr:oneCellAnchor>
    <xdr:from>
      <xdr:col>16</xdr:col>
      <xdr:colOff>541548</xdr:colOff>
      <xdr:row>0</xdr:row>
      <xdr:rowOff>838085</xdr:rowOff>
    </xdr:from>
    <xdr:ext cx="2482747" cy="292704"/>
    <xdr:sp macro="" textlink="">
      <xdr:nvSpPr>
        <xdr:cNvPr id="4" name="Rectangle: Rounded Corners 3">
          <a:extLst>
            <a:ext uri="{FF2B5EF4-FFF2-40B4-BE49-F238E27FC236}">
              <a16:creationId xmlns:a16="http://schemas.microsoft.com/office/drawing/2014/main" id="{6000BE77-A32A-4DF2-AF43-75A9BE58640A}"/>
            </a:ext>
          </a:extLst>
        </xdr:cNvPr>
        <xdr:cNvSpPr>
          <a:spLocks noChangeAspect="1"/>
        </xdr:cNvSpPr>
      </xdr:nvSpPr>
      <xdr:spPr>
        <a:xfrm>
          <a:off x="17404160" y="838085"/>
          <a:ext cx="2482747" cy="292704"/>
        </a:xfrm>
        <a:prstGeom prst="roundRect">
          <a:avLst/>
        </a:prstGeom>
        <a:gradFill>
          <a:gsLst>
            <a:gs pos="37000">
              <a:srgbClr val="C00000"/>
            </a:gs>
            <a:gs pos="100000">
              <a:srgbClr val="FF0000"/>
            </a:gs>
          </a:gsLst>
          <a:lin ang="3000000" scaled="0"/>
        </a:gradFill>
        <a:ln>
          <a:noFill/>
        </a:ln>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ctr">
          <a:spAutoFit/>
        </a:bodyPr>
        <a:lstStyle/>
        <a:p>
          <a:pPr algn="ctr"/>
          <a:r>
            <a:rPr lang="en-US" sz="1100"/>
            <a:t>Facebook</a:t>
          </a:r>
          <a:r>
            <a:rPr lang="en-US" sz="1100" baseline="0"/>
            <a:t> Live 3Sec</a:t>
          </a:r>
          <a:endParaRPr lang="en-US" sz="1100"/>
        </a:p>
      </xdr:txBody>
    </xdr:sp>
    <xdr:clientData/>
  </xdr:oneCellAnchor>
</xdr:wsDr>
</file>

<file path=xl/drawings/drawing3.xml><?xml version="1.0" encoding="utf-8"?>
<xdr:wsDr xmlns:xdr="http://schemas.openxmlformats.org/drawingml/2006/spreadsheetDrawing" xmlns:a="http://schemas.openxmlformats.org/drawingml/2006/main">
  <xdr:twoCellAnchor editAs="absolute">
    <xdr:from>
      <xdr:col>6</xdr:col>
      <xdr:colOff>441045</xdr:colOff>
      <xdr:row>9</xdr:row>
      <xdr:rowOff>127486</xdr:rowOff>
    </xdr:from>
    <xdr:to>
      <xdr:col>12</xdr:col>
      <xdr:colOff>665815</xdr:colOff>
      <xdr:row>23</xdr:row>
      <xdr:rowOff>148442</xdr:rowOff>
    </xdr:to>
    <xdr:graphicFrame macro="">
      <xdr:nvGraphicFramePr>
        <xdr:cNvPr id="7" name="Chart 6">
          <a:extLst>
            <a:ext uri="{FF2B5EF4-FFF2-40B4-BE49-F238E27FC236}">
              <a16:creationId xmlns:a16="http://schemas.microsoft.com/office/drawing/2014/main" id="{00000000-0008-0000-0400-000007000000}"/>
            </a:ext>
          </a:extLst>
        </xdr:cNvPr>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absolute">
    <xdr:from>
      <xdr:col>12</xdr:col>
      <xdr:colOff>898590</xdr:colOff>
      <xdr:row>9</xdr:row>
      <xdr:rowOff>127213</xdr:rowOff>
    </xdr:from>
    <xdr:to>
      <xdr:col>19</xdr:col>
      <xdr:colOff>250192</xdr:colOff>
      <xdr:row>23</xdr:row>
      <xdr:rowOff>127214</xdr:rowOff>
    </xdr:to>
    <xdr:graphicFrame macro="">
      <xdr:nvGraphicFramePr>
        <xdr:cNvPr id="11" name="Chart 10">
          <a:extLst>
            <a:ext uri="{FF2B5EF4-FFF2-40B4-BE49-F238E27FC236}">
              <a16:creationId xmlns:a16="http://schemas.microsoft.com/office/drawing/2014/main" id="{00000000-0008-0000-0400-00000B000000}"/>
            </a:ext>
            <a:ext uri="{147F2762-F138-4A5C-976F-8EAC2B608ADB}">
              <a16:predDERef xmlns:a16="http://schemas.microsoft.com/office/drawing/2014/main" pred="{00000000-0008-0000-0400-000007000000}"/>
            </a:ext>
          </a:extLst>
        </xdr:cNvPr>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absolute">
    <xdr:from>
      <xdr:col>19</xdr:col>
      <xdr:colOff>542017</xdr:colOff>
      <xdr:row>9</xdr:row>
      <xdr:rowOff>150121</xdr:rowOff>
    </xdr:from>
    <xdr:to>
      <xdr:col>25</xdr:col>
      <xdr:colOff>353151</xdr:colOff>
      <xdr:row>23</xdr:row>
      <xdr:rowOff>148441</xdr:rowOff>
    </xdr:to>
    <xdr:graphicFrame macro="">
      <xdr:nvGraphicFramePr>
        <xdr:cNvPr id="12" name="Chart 11">
          <a:extLst>
            <a:ext uri="{FF2B5EF4-FFF2-40B4-BE49-F238E27FC236}">
              <a16:creationId xmlns:a16="http://schemas.microsoft.com/office/drawing/2014/main" id="{00000000-0008-0000-0400-00000C000000}"/>
            </a:ext>
            <a:ext uri="{147F2762-F138-4A5C-976F-8EAC2B608ADB}">
              <a16:predDERef xmlns:a16="http://schemas.microsoft.com/office/drawing/2014/main" pred="{00000000-0008-0000-0400-00000B000000}"/>
            </a:ext>
          </a:extLst>
        </xdr:cNvPr>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absolute">
    <xdr:from>
      <xdr:col>0</xdr:col>
      <xdr:colOff>205344</xdr:colOff>
      <xdr:row>32</xdr:row>
      <xdr:rowOff>161336</xdr:rowOff>
    </xdr:from>
    <xdr:to>
      <xdr:col>3</xdr:col>
      <xdr:colOff>687858</xdr:colOff>
      <xdr:row>46</xdr:row>
      <xdr:rowOff>145968</xdr:rowOff>
    </xdr:to>
    <xdr:graphicFrame macro="">
      <xdr:nvGraphicFramePr>
        <xdr:cNvPr id="13" name="Chart 12">
          <a:extLst>
            <a:ext uri="{FF2B5EF4-FFF2-40B4-BE49-F238E27FC236}">
              <a16:creationId xmlns:a16="http://schemas.microsoft.com/office/drawing/2014/main" id="{00000000-0008-0000-0400-00000D000000}"/>
            </a:ext>
            <a:ext uri="{147F2762-F138-4A5C-976F-8EAC2B608ADB}">
              <a16:predDERef xmlns:a16="http://schemas.microsoft.com/office/drawing/2014/main" pred="{00000000-0008-0000-0400-00000C000000}"/>
            </a:ext>
          </a:extLst>
        </xdr:cNvPr>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0</xdr:col>
      <xdr:colOff>133894</xdr:colOff>
      <xdr:row>0</xdr:row>
      <xdr:rowOff>96883</xdr:rowOff>
    </xdr:from>
    <xdr:to>
      <xdr:col>25</xdr:col>
      <xdr:colOff>350351</xdr:colOff>
      <xdr:row>0</xdr:row>
      <xdr:rowOff>625929</xdr:rowOff>
    </xdr:to>
    <xdr:sp macro="" textlink="">
      <xdr:nvSpPr>
        <xdr:cNvPr id="15" name="Rectangle 14">
          <a:extLst>
            <a:ext uri="{FF2B5EF4-FFF2-40B4-BE49-F238E27FC236}">
              <a16:creationId xmlns:a16="http://schemas.microsoft.com/office/drawing/2014/main" id="{00000000-0008-0000-0400-00000F000000}"/>
            </a:ext>
          </a:extLst>
        </xdr:cNvPr>
        <xdr:cNvSpPr>
          <a:spLocks noChangeAspect="1"/>
        </xdr:cNvSpPr>
      </xdr:nvSpPr>
      <xdr:spPr>
        <a:xfrm>
          <a:off x="122464" y="81643"/>
          <a:ext cx="21092309" cy="544286"/>
        </a:xfrm>
        <a:prstGeom prst="rect">
          <a:avLst/>
        </a:prstGeom>
        <a:solidFill>
          <a:schemeClr val="accent6">
            <a:lumMod val="20000"/>
            <a:lumOff val="80000"/>
          </a:schemeClr>
        </a:solidFill>
        <a:ln>
          <a:noFill/>
        </a:ln>
        <a:effectLst>
          <a:glow rad="63500">
            <a:schemeClr val="accent6">
              <a:satMod val="175000"/>
              <a:alpha val="40000"/>
            </a:schemeClr>
          </a:glo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800">
              <a:solidFill>
                <a:srgbClr val="00B050"/>
              </a:solidFill>
            </a:rPr>
            <a:t>DASHBOARD DATA</a:t>
          </a:r>
        </a:p>
      </xdr:txBody>
    </xdr:sp>
    <xdr:clientData/>
  </xdr:twoCellAnchor>
  <xdr:twoCellAnchor editAs="absolute">
    <xdr:from>
      <xdr:col>12</xdr:col>
      <xdr:colOff>950747</xdr:colOff>
      <xdr:row>32</xdr:row>
      <xdr:rowOff>182018</xdr:rowOff>
    </xdr:from>
    <xdr:to>
      <xdr:col>19</xdr:col>
      <xdr:colOff>442927</xdr:colOff>
      <xdr:row>47</xdr:row>
      <xdr:rowOff>67718</xdr:rowOff>
    </xdr:to>
    <xdr:graphicFrame macro="">
      <xdr:nvGraphicFramePr>
        <xdr:cNvPr id="25" name="Chart 24">
          <a:extLst>
            <a:ext uri="{FF2B5EF4-FFF2-40B4-BE49-F238E27FC236}">
              <a16:creationId xmlns:a16="http://schemas.microsoft.com/office/drawing/2014/main" id="{00000000-0008-0000-0400-000019000000}"/>
            </a:ext>
            <a:ext uri="{147F2762-F138-4A5C-976F-8EAC2B608ADB}">
              <a16:predDERef xmlns:a16="http://schemas.microsoft.com/office/drawing/2014/main" pred="{00000000-0008-0000-0400-00000F000000}"/>
            </a:ext>
          </a:extLst>
        </xdr:cNvPr>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absolute">
    <xdr:from>
      <xdr:col>19</xdr:col>
      <xdr:colOff>681577</xdr:colOff>
      <xdr:row>33</xdr:row>
      <xdr:rowOff>26624</xdr:rowOff>
    </xdr:from>
    <xdr:to>
      <xdr:col>25</xdr:col>
      <xdr:colOff>476833</xdr:colOff>
      <xdr:row>47</xdr:row>
      <xdr:rowOff>66853</xdr:rowOff>
    </xdr:to>
    <xdr:graphicFrame macro="">
      <xdr:nvGraphicFramePr>
        <xdr:cNvPr id="27" name="Chart 26">
          <a:extLst>
            <a:ext uri="{FF2B5EF4-FFF2-40B4-BE49-F238E27FC236}">
              <a16:creationId xmlns:a16="http://schemas.microsoft.com/office/drawing/2014/main" id="{00000000-0008-0000-0400-00001B000000}"/>
            </a:ext>
            <a:ext uri="{147F2762-F138-4A5C-976F-8EAC2B608ADB}">
              <a16:predDERef xmlns:a16="http://schemas.microsoft.com/office/drawing/2014/main" pred="{00000000-0008-0000-0400-000019000000}"/>
            </a:ext>
          </a:extLst>
        </xdr:cNvPr>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editAs="absolute">
    <xdr:from>
      <xdr:col>6</xdr:col>
      <xdr:colOff>527549</xdr:colOff>
      <xdr:row>27</xdr:row>
      <xdr:rowOff>68327</xdr:rowOff>
    </xdr:from>
    <xdr:to>
      <xdr:col>12</xdr:col>
      <xdr:colOff>756302</xdr:colOff>
      <xdr:row>32</xdr:row>
      <xdr:rowOff>68551</xdr:rowOff>
    </xdr:to>
    <mc:AlternateContent xmlns:mc="http://schemas.openxmlformats.org/markup-compatibility/2006" xmlns:a14="http://schemas.microsoft.com/office/drawing/2010/main">
      <mc:Choice Requires="a14">
        <xdr:graphicFrame macro="">
          <xdr:nvGraphicFramePr>
            <xdr:cNvPr id="33" name="Slice Page Visit">
              <a:extLst>
                <a:ext uri="{FF2B5EF4-FFF2-40B4-BE49-F238E27FC236}">
                  <a16:creationId xmlns:a16="http://schemas.microsoft.com/office/drawing/2014/main" id="{00000000-0008-0000-0400-000021000000}"/>
                </a:ext>
              </a:extLst>
            </xdr:cNvPr>
            <xdr:cNvGraphicFramePr>
              <a:graphicFrameLocks noChangeAspect="1"/>
            </xdr:cNvGraphicFramePr>
          </xdr:nvGraphicFramePr>
          <xdr:xfrm>
            <a:off x="0" y="0"/>
            <a:ext cx="0" cy="0"/>
          </xdr:xfrm>
          <a:graphic>
            <a:graphicData uri="http://schemas.microsoft.com/office/drawing/2010/slicer">
              <sle:slicer xmlns:sle="http://schemas.microsoft.com/office/drawing/2010/slicer" name="Slice Page Visit"/>
            </a:graphicData>
          </a:graphic>
        </xdr:graphicFrame>
      </mc:Choice>
      <mc:Fallback xmlns="">
        <xdr:sp macro="" textlink="">
          <xdr:nvSpPr>
            <xdr:cNvPr id="0" name=""/>
            <xdr:cNvSpPr>
              <a:spLocks noTextEdit="1"/>
            </xdr:cNvSpPr>
          </xdr:nvSpPr>
          <xdr:spPr>
            <a:xfrm>
              <a:off x="8760671" y="5892184"/>
              <a:ext cx="4085978" cy="952724"/>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absolute">
    <xdr:from>
      <xdr:col>6</xdr:col>
      <xdr:colOff>536304</xdr:colOff>
      <xdr:row>32</xdr:row>
      <xdr:rowOff>171323</xdr:rowOff>
    </xdr:from>
    <xdr:to>
      <xdr:col>12</xdr:col>
      <xdr:colOff>762929</xdr:colOff>
      <xdr:row>46</xdr:row>
      <xdr:rowOff>152665</xdr:rowOff>
    </xdr:to>
    <xdr:graphicFrame macro="">
      <xdr:nvGraphicFramePr>
        <xdr:cNvPr id="34" name="Chart 33">
          <a:extLst>
            <a:ext uri="{FF2B5EF4-FFF2-40B4-BE49-F238E27FC236}">
              <a16:creationId xmlns:a16="http://schemas.microsoft.com/office/drawing/2014/main" id="{00000000-0008-0000-0400-000022000000}"/>
            </a:ext>
            <a:ext uri="{147F2762-F138-4A5C-976F-8EAC2B608ADB}">
              <a16:predDERef xmlns:a16="http://schemas.microsoft.com/office/drawing/2014/main" pred="{00000000-0008-0000-0400-000021000000}"/>
            </a:ext>
          </a:extLst>
        </xdr:cNvPr>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editAs="absolute">
    <xdr:from>
      <xdr:col>0</xdr:col>
      <xdr:colOff>38967</xdr:colOff>
      <xdr:row>9</xdr:row>
      <xdr:rowOff>73870</xdr:rowOff>
    </xdr:from>
    <xdr:to>
      <xdr:col>3</xdr:col>
      <xdr:colOff>634932</xdr:colOff>
      <xdr:row>23</xdr:row>
      <xdr:rowOff>150070</xdr:rowOff>
    </xdr:to>
    <xdr:graphicFrame macro="">
      <xdr:nvGraphicFramePr>
        <xdr:cNvPr id="36" name="Chart 35">
          <a:extLst>
            <a:ext uri="{FF2B5EF4-FFF2-40B4-BE49-F238E27FC236}">
              <a16:creationId xmlns:a16="http://schemas.microsoft.com/office/drawing/2014/main" id="{00000000-0008-0000-0400-000024000000}"/>
            </a:ext>
            <a:ext uri="{147F2762-F138-4A5C-976F-8EAC2B608ADB}">
              <a16:predDERef xmlns:a16="http://schemas.microsoft.com/office/drawing/2014/main" pred="{00000000-0008-0000-0400-000023000000}"/>
            </a:ext>
          </a:extLst>
        </xdr:cNvPr>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absolute">
    <xdr:from>
      <xdr:col>3</xdr:col>
      <xdr:colOff>864670</xdr:colOff>
      <xdr:row>4</xdr:row>
      <xdr:rowOff>15630</xdr:rowOff>
    </xdr:from>
    <xdr:to>
      <xdr:col>6</xdr:col>
      <xdr:colOff>247132</xdr:colOff>
      <xdr:row>8</xdr:row>
      <xdr:rowOff>165388</xdr:rowOff>
    </xdr:to>
    <mc:AlternateContent xmlns:mc="http://schemas.openxmlformats.org/markup-compatibility/2006" xmlns:a14="http://schemas.microsoft.com/office/drawing/2010/main">
      <mc:Choice Requires="a14">
        <xdr:graphicFrame macro="">
          <xdr:nvGraphicFramePr>
            <xdr:cNvPr id="37" name="Slicer Reach ">
              <a:extLst>
                <a:ext uri="{FF2B5EF4-FFF2-40B4-BE49-F238E27FC236}">
                  <a16:creationId xmlns:a16="http://schemas.microsoft.com/office/drawing/2014/main" id="{00000000-0008-0000-0400-000025000000}"/>
                </a:ext>
              </a:extLst>
            </xdr:cNvPr>
            <xdr:cNvGraphicFramePr>
              <a:graphicFrameLocks noChangeAspect="1"/>
            </xdr:cNvGraphicFramePr>
          </xdr:nvGraphicFramePr>
          <xdr:xfrm>
            <a:off x="0" y="0"/>
            <a:ext cx="0" cy="0"/>
          </xdr:xfrm>
          <a:graphic>
            <a:graphicData uri="http://schemas.microsoft.com/office/drawing/2010/slicer">
              <sle:slicer xmlns:sle="http://schemas.microsoft.com/office/drawing/2010/slicer" name="Slicer Reach "/>
            </a:graphicData>
          </a:graphic>
        </xdr:graphicFrame>
      </mc:Choice>
      <mc:Fallback xmlns="">
        <xdr:sp macro="" textlink="">
          <xdr:nvSpPr>
            <xdr:cNvPr id="0" name=""/>
            <xdr:cNvSpPr>
              <a:spLocks noTextEdit="1"/>
            </xdr:cNvSpPr>
          </xdr:nvSpPr>
          <xdr:spPr>
            <a:xfrm>
              <a:off x="4464159" y="1457987"/>
              <a:ext cx="4008892" cy="911758"/>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absolute">
    <xdr:from>
      <xdr:col>3</xdr:col>
      <xdr:colOff>831101</xdr:colOff>
      <xdr:row>9</xdr:row>
      <xdr:rowOff>128648</xdr:rowOff>
    </xdr:from>
    <xdr:to>
      <xdr:col>6</xdr:col>
      <xdr:colOff>250707</xdr:colOff>
      <xdr:row>23</xdr:row>
      <xdr:rowOff>148441</xdr:rowOff>
    </xdr:to>
    <xdr:graphicFrame macro="">
      <xdr:nvGraphicFramePr>
        <xdr:cNvPr id="38" name="Chart 37">
          <a:extLst>
            <a:ext uri="{FF2B5EF4-FFF2-40B4-BE49-F238E27FC236}">
              <a16:creationId xmlns:a16="http://schemas.microsoft.com/office/drawing/2014/main" id="{00000000-0008-0000-0400-000026000000}"/>
            </a:ext>
            <a:ext uri="{147F2762-F138-4A5C-976F-8EAC2B608ADB}">
              <a16:predDERef xmlns:a16="http://schemas.microsoft.com/office/drawing/2014/main" pred="{00000000-0008-0000-0400-000025000000}"/>
            </a:ext>
          </a:extLst>
        </xdr:cNvPr>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editAs="absolute">
    <xdr:from>
      <xdr:col>6</xdr:col>
      <xdr:colOff>445976</xdr:colOff>
      <xdr:row>4</xdr:row>
      <xdr:rowOff>14355</xdr:rowOff>
    </xdr:from>
    <xdr:to>
      <xdr:col>12</xdr:col>
      <xdr:colOff>637693</xdr:colOff>
      <xdr:row>8</xdr:row>
      <xdr:rowOff>169669</xdr:rowOff>
    </xdr:to>
    <mc:AlternateContent xmlns:mc="http://schemas.openxmlformats.org/markup-compatibility/2006" xmlns:a14="http://schemas.microsoft.com/office/drawing/2010/main">
      <mc:Choice Requires="a14">
        <xdr:graphicFrame macro="">
          <xdr:nvGraphicFramePr>
            <xdr:cNvPr id="2" name="Slicer ENG &amp; VDO">
              <a:extLst>
                <a:ext uri="{FF2B5EF4-FFF2-40B4-BE49-F238E27FC236}">
                  <a16:creationId xmlns:a16="http://schemas.microsoft.com/office/drawing/2014/main" id="{284A1367-6752-4955-809C-6157B41AC9CC}"/>
                </a:ext>
              </a:extLst>
            </xdr:cNvPr>
            <xdr:cNvGraphicFramePr>
              <a:graphicFrameLocks noChangeAspect="1"/>
            </xdr:cNvGraphicFramePr>
          </xdr:nvGraphicFramePr>
          <xdr:xfrm>
            <a:off x="0" y="0"/>
            <a:ext cx="0" cy="0"/>
          </xdr:xfrm>
          <a:graphic>
            <a:graphicData uri="http://schemas.microsoft.com/office/drawing/2010/slicer">
              <sle:slicer xmlns:sle="http://schemas.microsoft.com/office/drawing/2010/slicer" name="Slicer ENG &amp; VDO"/>
            </a:graphicData>
          </a:graphic>
        </xdr:graphicFrame>
      </mc:Choice>
      <mc:Fallback xmlns="">
        <xdr:sp macro="" textlink="">
          <xdr:nvSpPr>
            <xdr:cNvPr id="0" name=""/>
            <xdr:cNvSpPr>
              <a:spLocks noTextEdit="1"/>
            </xdr:cNvSpPr>
          </xdr:nvSpPr>
          <xdr:spPr>
            <a:xfrm>
              <a:off x="8671895" y="1456712"/>
              <a:ext cx="4056145" cy="917314"/>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absolute">
    <xdr:from>
      <xdr:col>12</xdr:col>
      <xdr:colOff>864157</xdr:colOff>
      <xdr:row>4</xdr:row>
      <xdr:rowOff>14356</xdr:rowOff>
    </xdr:from>
    <xdr:to>
      <xdr:col>19</xdr:col>
      <xdr:colOff>250192</xdr:colOff>
      <xdr:row>8</xdr:row>
      <xdr:rowOff>169670</xdr:rowOff>
    </xdr:to>
    <mc:AlternateContent xmlns:mc="http://schemas.openxmlformats.org/markup-compatibility/2006" xmlns:a14="http://schemas.microsoft.com/office/drawing/2010/main">
      <mc:Choice Requires="a14">
        <xdr:graphicFrame macro="">
          <xdr:nvGraphicFramePr>
            <xdr:cNvPr id="3" name="Slicer Engagement">
              <a:extLst>
                <a:ext uri="{FF2B5EF4-FFF2-40B4-BE49-F238E27FC236}">
                  <a16:creationId xmlns:a16="http://schemas.microsoft.com/office/drawing/2014/main" id="{39550373-8268-433D-A54D-653E4A7348A3}"/>
                </a:ext>
              </a:extLst>
            </xdr:cNvPr>
            <xdr:cNvGraphicFramePr>
              <a:graphicFrameLocks noChangeAspect="1"/>
            </xdr:cNvGraphicFramePr>
          </xdr:nvGraphicFramePr>
          <xdr:xfrm>
            <a:off x="0" y="0"/>
            <a:ext cx="0" cy="0"/>
          </xdr:xfrm>
          <a:graphic>
            <a:graphicData uri="http://schemas.microsoft.com/office/drawing/2010/slicer">
              <sle:slicer xmlns:sle="http://schemas.microsoft.com/office/drawing/2010/slicer" name="Slicer Engagement"/>
            </a:graphicData>
          </a:graphic>
        </xdr:graphicFrame>
      </mc:Choice>
      <mc:Fallback xmlns="">
        <xdr:sp macro="" textlink="">
          <xdr:nvSpPr>
            <xdr:cNvPr id="0" name=""/>
            <xdr:cNvSpPr>
              <a:spLocks noTextEdit="1"/>
            </xdr:cNvSpPr>
          </xdr:nvSpPr>
          <xdr:spPr>
            <a:xfrm>
              <a:off x="12961708" y="1456713"/>
              <a:ext cx="4046080" cy="917314"/>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absolute">
    <xdr:from>
      <xdr:col>19</xdr:col>
      <xdr:colOff>519025</xdr:colOff>
      <xdr:row>4</xdr:row>
      <xdr:rowOff>34141</xdr:rowOff>
    </xdr:from>
    <xdr:to>
      <xdr:col>25</xdr:col>
      <xdr:colOff>356065</xdr:colOff>
      <xdr:row>8</xdr:row>
      <xdr:rowOff>160506</xdr:rowOff>
    </xdr:to>
    <mc:AlternateContent xmlns:mc="http://schemas.openxmlformats.org/markup-compatibility/2006" xmlns:a14="http://schemas.microsoft.com/office/drawing/2010/main">
      <mc:Choice Requires="a14">
        <xdr:graphicFrame macro="">
          <xdr:nvGraphicFramePr>
            <xdr:cNvPr id="4" name="Slicer 3 Sec Video Views">
              <a:extLst>
                <a:ext uri="{FF2B5EF4-FFF2-40B4-BE49-F238E27FC236}">
                  <a16:creationId xmlns:a16="http://schemas.microsoft.com/office/drawing/2014/main" id="{3F81A7FB-3985-440A-B8E7-EA2049571174}"/>
                </a:ext>
              </a:extLst>
            </xdr:cNvPr>
            <xdr:cNvGraphicFramePr>
              <a:graphicFrameLocks noChangeAspect="1"/>
            </xdr:cNvGraphicFramePr>
          </xdr:nvGraphicFramePr>
          <xdr:xfrm>
            <a:off x="0" y="0"/>
            <a:ext cx="0" cy="0"/>
          </xdr:xfrm>
          <a:graphic>
            <a:graphicData uri="http://schemas.microsoft.com/office/drawing/2010/slicer">
              <sle:slicer xmlns:sle="http://schemas.microsoft.com/office/drawing/2010/slicer" name="Slicer 3 Sec Video Views"/>
            </a:graphicData>
          </a:graphic>
        </xdr:graphicFrame>
      </mc:Choice>
      <mc:Fallback xmlns="">
        <xdr:sp macro="" textlink="">
          <xdr:nvSpPr>
            <xdr:cNvPr id="0" name=""/>
            <xdr:cNvSpPr>
              <a:spLocks noTextEdit="1"/>
            </xdr:cNvSpPr>
          </xdr:nvSpPr>
          <xdr:spPr>
            <a:xfrm>
              <a:off x="17276621" y="1476498"/>
              <a:ext cx="4055255" cy="88836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absolute">
    <xdr:from>
      <xdr:col>3</xdr:col>
      <xdr:colOff>914619</xdr:colOff>
      <xdr:row>27</xdr:row>
      <xdr:rowOff>64325</xdr:rowOff>
    </xdr:from>
    <xdr:to>
      <xdr:col>6</xdr:col>
      <xdr:colOff>380025</xdr:colOff>
      <xdr:row>32</xdr:row>
      <xdr:rowOff>103514</xdr:rowOff>
    </xdr:to>
    <mc:AlternateContent xmlns:mc="http://schemas.openxmlformats.org/markup-compatibility/2006" xmlns:a14="http://schemas.microsoft.com/office/drawing/2010/main">
      <mc:Choice Requires="a14">
        <xdr:graphicFrame macro="">
          <xdr:nvGraphicFramePr>
            <xdr:cNvPr id="10" name="Slicer Follower">
              <a:extLst>
                <a:ext uri="{FF2B5EF4-FFF2-40B4-BE49-F238E27FC236}">
                  <a16:creationId xmlns:a16="http://schemas.microsoft.com/office/drawing/2014/main" id="{5EEA077D-E852-47D1-8079-C3897C24371A}"/>
                </a:ext>
              </a:extLst>
            </xdr:cNvPr>
            <xdr:cNvGraphicFramePr/>
          </xdr:nvGraphicFramePr>
          <xdr:xfrm>
            <a:off x="0" y="0"/>
            <a:ext cx="0" cy="0"/>
          </xdr:xfrm>
          <a:graphic>
            <a:graphicData uri="http://schemas.microsoft.com/office/drawing/2010/slicer">
              <sle:slicer xmlns:sle="http://schemas.microsoft.com/office/drawing/2010/slicer" name="Slicer Follower"/>
            </a:graphicData>
          </a:graphic>
        </xdr:graphicFrame>
      </mc:Choice>
      <mc:Fallback xmlns="">
        <xdr:sp macro="" textlink="">
          <xdr:nvSpPr>
            <xdr:cNvPr id="0" name=""/>
            <xdr:cNvSpPr>
              <a:spLocks noTextEdit="1"/>
            </xdr:cNvSpPr>
          </xdr:nvSpPr>
          <xdr:spPr>
            <a:xfrm>
              <a:off x="4514108" y="5888182"/>
              <a:ext cx="4091836" cy="991689"/>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absolute">
    <xdr:from>
      <xdr:col>3</xdr:col>
      <xdr:colOff>954704</xdr:colOff>
      <xdr:row>32</xdr:row>
      <xdr:rowOff>179168</xdr:rowOff>
    </xdr:from>
    <xdr:to>
      <xdr:col>6</xdr:col>
      <xdr:colOff>380026</xdr:colOff>
      <xdr:row>46</xdr:row>
      <xdr:rowOff>159575</xdr:rowOff>
    </xdr:to>
    <xdr:graphicFrame macro="">
      <xdr:nvGraphicFramePr>
        <xdr:cNvPr id="18" name="Chart 17">
          <a:extLst>
            <a:ext uri="{FF2B5EF4-FFF2-40B4-BE49-F238E27FC236}">
              <a16:creationId xmlns:a16="http://schemas.microsoft.com/office/drawing/2014/main" id="{EC5D1304-88E1-4639-893A-91E9195DF813}"/>
            </a:ext>
            <a:ext uri="{147F2762-F138-4A5C-976F-8EAC2B608ADB}">
              <a16:predDERef xmlns:a16="http://schemas.microsoft.com/office/drawing/2014/main" pred="{5EEA077D-E852-47D1-8079-C3897C24371A}"/>
            </a:ext>
          </a:extLst>
        </xdr:cNvPr>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26</xdr:col>
      <xdr:colOff>386442</xdr:colOff>
      <xdr:row>10</xdr:row>
      <xdr:rowOff>69273</xdr:rowOff>
    </xdr:from>
    <xdr:to>
      <xdr:col>33</xdr:col>
      <xdr:colOff>513608</xdr:colOff>
      <xdr:row>24</xdr:row>
      <xdr:rowOff>86592</xdr:rowOff>
    </xdr:to>
    <xdr:graphicFrame macro="">
      <xdr:nvGraphicFramePr>
        <xdr:cNvPr id="6" name="Chart 5">
          <a:extLst>
            <a:ext uri="{FF2B5EF4-FFF2-40B4-BE49-F238E27FC236}">
              <a16:creationId xmlns:a16="http://schemas.microsoft.com/office/drawing/2014/main" id="{12577D59-1C54-4BFB-A3E8-EABCD5AB97EC}"/>
            </a:ext>
            <a:ext uri="{147F2762-F138-4A5C-976F-8EAC2B608ADB}">
              <a16:predDERef xmlns:a16="http://schemas.microsoft.com/office/drawing/2014/main" pred="{7A22A026-A5BE-42A2-95E0-1B5EBEBCBFD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editAs="oneCell">
    <xdr:from>
      <xdr:col>26</xdr:col>
      <xdr:colOff>353785</xdr:colOff>
      <xdr:row>4</xdr:row>
      <xdr:rowOff>164524</xdr:rowOff>
    </xdr:from>
    <xdr:to>
      <xdr:col>33</xdr:col>
      <xdr:colOff>497279</xdr:colOff>
      <xdr:row>9</xdr:row>
      <xdr:rowOff>82882</xdr:rowOff>
    </xdr:to>
    <mc:AlternateContent xmlns:mc="http://schemas.openxmlformats.org/markup-compatibility/2006" xmlns:a14="http://schemas.microsoft.com/office/drawing/2010/main">
      <mc:Choice Requires="a14">
        <xdr:graphicFrame macro="">
          <xdr:nvGraphicFramePr>
            <xdr:cNvPr id="8" name="Slicer Facebook Live Views">
              <a:extLst>
                <a:ext uri="{FF2B5EF4-FFF2-40B4-BE49-F238E27FC236}">
                  <a16:creationId xmlns:a16="http://schemas.microsoft.com/office/drawing/2014/main" id="{76958D88-AF63-44D5-ACDF-6F2220BDC155}"/>
                </a:ext>
              </a:extLst>
            </xdr:cNvPr>
            <xdr:cNvGraphicFramePr/>
          </xdr:nvGraphicFramePr>
          <xdr:xfrm>
            <a:off x="0" y="0"/>
            <a:ext cx="0" cy="0"/>
          </xdr:xfrm>
          <a:graphic>
            <a:graphicData uri="http://schemas.microsoft.com/office/drawing/2010/slicer">
              <sle:slicer xmlns:sle="http://schemas.microsoft.com/office/drawing/2010/slicer" name="Slicer Facebook Live Views"/>
            </a:graphicData>
          </a:graphic>
        </xdr:graphicFrame>
      </mc:Choice>
      <mc:Fallback xmlns="">
        <xdr:sp macro="" textlink="">
          <xdr:nvSpPr>
            <xdr:cNvPr id="0" name=""/>
            <xdr:cNvSpPr>
              <a:spLocks noTextEdit="1"/>
            </xdr:cNvSpPr>
          </xdr:nvSpPr>
          <xdr:spPr>
            <a:xfrm>
              <a:off x="21921106" y="1606881"/>
              <a:ext cx="4579423" cy="870858"/>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0</xdr:colOff>
      <xdr:row>4</xdr:row>
      <xdr:rowOff>13607</xdr:rowOff>
    </xdr:from>
    <xdr:to>
      <xdr:col>3</xdr:col>
      <xdr:colOff>659547</xdr:colOff>
      <xdr:row>9</xdr:row>
      <xdr:rowOff>0</xdr:rowOff>
    </xdr:to>
    <mc:AlternateContent xmlns:mc="http://schemas.openxmlformats.org/markup-compatibility/2006" xmlns:a14="http://schemas.microsoft.com/office/drawing/2010/main">
      <mc:Choice Requires="a14">
        <xdr:graphicFrame macro="">
          <xdr:nvGraphicFramePr>
            <xdr:cNvPr id="17" name="Slicer Impression">
              <a:extLst>
                <a:ext uri="{FF2B5EF4-FFF2-40B4-BE49-F238E27FC236}">
                  <a16:creationId xmlns:a16="http://schemas.microsoft.com/office/drawing/2014/main" id="{9DD5C6A1-8834-4AE1-87D3-4E21176242F6}"/>
                </a:ext>
              </a:extLst>
            </xdr:cNvPr>
            <xdr:cNvGraphicFramePr/>
          </xdr:nvGraphicFramePr>
          <xdr:xfrm>
            <a:off x="0" y="0"/>
            <a:ext cx="0" cy="0"/>
          </xdr:xfrm>
          <a:graphic>
            <a:graphicData uri="http://schemas.microsoft.com/office/drawing/2010/slicer">
              <sle:slicer xmlns:sle="http://schemas.microsoft.com/office/drawing/2010/slicer" name="Slicer Impression"/>
            </a:graphicData>
          </a:graphic>
        </xdr:graphicFrame>
      </mc:Choice>
      <mc:Fallback xmlns="">
        <xdr:sp macro="" textlink="">
          <xdr:nvSpPr>
            <xdr:cNvPr id="0" name=""/>
            <xdr:cNvSpPr>
              <a:spLocks noTextEdit="1"/>
            </xdr:cNvSpPr>
          </xdr:nvSpPr>
          <xdr:spPr>
            <a:xfrm>
              <a:off x="0" y="1433698"/>
              <a:ext cx="4262747" cy="938893"/>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204108</xdr:colOff>
      <xdr:row>27</xdr:row>
      <xdr:rowOff>68036</xdr:rowOff>
    </xdr:from>
    <xdr:to>
      <xdr:col>3</xdr:col>
      <xdr:colOff>686761</xdr:colOff>
      <xdr:row>32</xdr:row>
      <xdr:rowOff>108857</xdr:rowOff>
    </xdr:to>
    <mc:AlternateContent xmlns:mc="http://schemas.openxmlformats.org/markup-compatibility/2006" xmlns:a14="http://schemas.microsoft.com/office/drawing/2010/main">
      <mc:Choice Requires="a14">
        <xdr:graphicFrame macro="">
          <xdr:nvGraphicFramePr>
            <xdr:cNvPr id="20" name="Slicer Users Input">
              <a:extLst>
                <a:ext uri="{FF2B5EF4-FFF2-40B4-BE49-F238E27FC236}">
                  <a16:creationId xmlns:a16="http://schemas.microsoft.com/office/drawing/2014/main" id="{580154EB-C778-4A34-8A20-0D2C419DAE22}"/>
                </a:ext>
              </a:extLst>
            </xdr:cNvPr>
            <xdr:cNvGraphicFramePr/>
          </xdr:nvGraphicFramePr>
          <xdr:xfrm>
            <a:off x="0" y="0"/>
            <a:ext cx="0" cy="0"/>
          </xdr:xfrm>
          <a:graphic>
            <a:graphicData uri="http://schemas.microsoft.com/office/drawing/2010/slicer">
              <sle:slicer xmlns:sle="http://schemas.microsoft.com/office/drawing/2010/slicer" name="Slicer Users Input"/>
            </a:graphicData>
          </a:graphic>
        </xdr:graphicFrame>
      </mc:Choice>
      <mc:Fallback xmlns="">
        <xdr:sp macro="" textlink="">
          <xdr:nvSpPr>
            <xdr:cNvPr id="0" name=""/>
            <xdr:cNvSpPr>
              <a:spLocks noTextEdit="1"/>
            </xdr:cNvSpPr>
          </xdr:nvSpPr>
          <xdr:spPr>
            <a:xfrm>
              <a:off x="204108" y="5869627"/>
              <a:ext cx="4085853" cy="993321"/>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2</xdr:col>
      <xdr:colOff>205154</xdr:colOff>
      <xdr:row>60</xdr:row>
      <xdr:rowOff>87923</xdr:rowOff>
    </xdr:from>
    <xdr:to>
      <xdr:col>2</xdr:col>
      <xdr:colOff>1163146</xdr:colOff>
      <xdr:row>60</xdr:row>
      <xdr:rowOff>1065903</xdr:rowOff>
    </xdr:to>
    <xdr:pic>
      <xdr:nvPicPr>
        <xdr:cNvPr id="21" name="Picture 20" descr="No photo description available.">
          <a:hlinkClick xmlns:r="http://schemas.openxmlformats.org/officeDocument/2006/relationships" r:id="rId12"/>
          <a:extLst>
            <a:ext uri="{FF2B5EF4-FFF2-40B4-BE49-F238E27FC236}">
              <a16:creationId xmlns:a16="http://schemas.microsoft.com/office/drawing/2014/main" id="{67CC92B9-6580-45B8-9B3F-FA5BBB897E38}"/>
            </a:ext>
          </a:extLst>
        </xdr:cNvPr>
        <xdr:cNvPicPr>
          <a:picLocks noChangeAspect="1" noChangeArrowheads="1"/>
        </xdr:cNvPicPr>
      </xdr:nvPicPr>
      <xdr:blipFill>
        <a:blip xmlns:r="http://schemas.openxmlformats.org/officeDocument/2006/relationships" r:embed="rId13" cstate="print">
          <a:extLst>
            <a:ext uri="{28A0092B-C50C-407E-A947-70E740481C1C}">
              <a14:useLocalDpi xmlns:a14="http://schemas.microsoft.com/office/drawing/2010/main" val="0"/>
            </a:ext>
          </a:extLst>
        </a:blip>
        <a:srcRect/>
        <a:stretch>
          <a:fillRect/>
        </a:stretch>
      </xdr:blipFill>
      <xdr:spPr bwMode="auto">
        <a:xfrm>
          <a:off x="2271346" y="14316808"/>
          <a:ext cx="957992" cy="97798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219808</xdr:colOff>
      <xdr:row>61</xdr:row>
      <xdr:rowOff>161192</xdr:rowOff>
    </xdr:from>
    <xdr:to>
      <xdr:col>2</xdr:col>
      <xdr:colOff>1152577</xdr:colOff>
      <xdr:row>61</xdr:row>
      <xdr:rowOff>1063478</xdr:rowOff>
    </xdr:to>
    <xdr:pic>
      <xdr:nvPicPr>
        <xdr:cNvPr id="22" name="Picture 21">
          <a:hlinkClick xmlns:r="http://schemas.openxmlformats.org/officeDocument/2006/relationships" r:id="rId14"/>
          <a:extLst>
            <a:ext uri="{FF2B5EF4-FFF2-40B4-BE49-F238E27FC236}">
              <a16:creationId xmlns:a16="http://schemas.microsoft.com/office/drawing/2014/main" id="{4166F722-70C2-1412-2E81-4E155D061083}"/>
            </a:ext>
          </a:extLst>
        </xdr:cNvPr>
        <xdr:cNvPicPr>
          <a:picLocks noChangeAspect="1"/>
        </xdr:cNvPicPr>
      </xdr:nvPicPr>
      <xdr:blipFill>
        <a:blip xmlns:r="http://schemas.openxmlformats.org/officeDocument/2006/relationships" r:embed="rId15"/>
        <a:stretch>
          <a:fillRect/>
        </a:stretch>
      </xdr:blipFill>
      <xdr:spPr>
        <a:xfrm>
          <a:off x="2286000" y="15503769"/>
          <a:ext cx="932769" cy="902286"/>
        </a:xfrm>
        <a:prstGeom prst="rect">
          <a:avLst/>
        </a:prstGeom>
      </xdr:spPr>
    </xdr:pic>
    <xdr:clientData/>
  </xdr:twoCellAnchor>
  <xdr:twoCellAnchor editAs="oneCell">
    <xdr:from>
      <xdr:col>2</xdr:col>
      <xdr:colOff>153866</xdr:colOff>
      <xdr:row>62</xdr:row>
      <xdr:rowOff>168519</xdr:rowOff>
    </xdr:from>
    <xdr:to>
      <xdr:col>2</xdr:col>
      <xdr:colOff>1099190</xdr:colOff>
      <xdr:row>62</xdr:row>
      <xdr:rowOff>1097166</xdr:rowOff>
    </xdr:to>
    <xdr:pic>
      <xdr:nvPicPr>
        <xdr:cNvPr id="23" name="Picture 22" descr="No photo description available.">
          <a:hlinkClick xmlns:r="http://schemas.openxmlformats.org/officeDocument/2006/relationships" r:id="rId16"/>
          <a:extLst>
            <a:ext uri="{FF2B5EF4-FFF2-40B4-BE49-F238E27FC236}">
              <a16:creationId xmlns:a16="http://schemas.microsoft.com/office/drawing/2014/main" id="{0F993848-FFE0-439A-BB61-766D4785D008}"/>
            </a:ext>
          </a:extLst>
        </xdr:cNvPr>
        <xdr:cNvPicPr>
          <a:picLocks noChangeAspect="1" noChangeArrowheads="1"/>
        </xdr:cNvPicPr>
      </xdr:nvPicPr>
      <xdr:blipFill>
        <a:blip xmlns:r="http://schemas.openxmlformats.org/officeDocument/2006/relationships" r:embed="rId17" cstate="print">
          <a:extLst>
            <a:ext uri="{28A0092B-C50C-407E-A947-70E740481C1C}">
              <a14:useLocalDpi xmlns:a14="http://schemas.microsoft.com/office/drawing/2010/main" val="0"/>
            </a:ext>
          </a:extLst>
        </a:blip>
        <a:srcRect/>
        <a:stretch>
          <a:fillRect/>
        </a:stretch>
      </xdr:blipFill>
      <xdr:spPr bwMode="auto">
        <a:xfrm>
          <a:off x="2220058" y="16844596"/>
          <a:ext cx="945324" cy="92864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234894</xdr:colOff>
      <xdr:row>59</xdr:row>
      <xdr:rowOff>112058</xdr:rowOff>
    </xdr:from>
    <xdr:to>
      <xdr:col>2</xdr:col>
      <xdr:colOff>1165413</xdr:colOff>
      <xdr:row>59</xdr:row>
      <xdr:rowOff>1043705</xdr:rowOff>
    </xdr:to>
    <xdr:pic>
      <xdr:nvPicPr>
        <xdr:cNvPr id="9" name="Picture 8" descr="No photo description available.">
          <a:hlinkClick xmlns:r="http://schemas.openxmlformats.org/officeDocument/2006/relationships" r:id="rId18"/>
          <a:extLst>
            <a:ext uri="{FF2B5EF4-FFF2-40B4-BE49-F238E27FC236}">
              <a16:creationId xmlns:a16="http://schemas.microsoft.com/office/drawing/2014/main" id="{1087BAA4-3A0D-8229-E560-523CF9342031}"/>
            </a:ext>
          </a:extLst>
        </xdr:cNvPr>
        <xdr:cNvPicPr>
          <a:picLocks noChangeAspect="1" noChangeArrowheads="1"/>
        </xdr:cNvPicPr>
      </xdr:nvPicPr>
      <xdr:blipFill>
        <a:blip xmlns:r="http://schemas.openxmlformats.org/officeDocument/2006/relationships" r:embed="rId19" cstate="print">
          <a:extLst>
            <a:ext uri="{28A0092B-C50C-407E-A947-70E740481C1C}">
              <a14:useLocalDpi xmlns:a14="http://schemas.microsoft.com/office/drawing/2010/main" val="0"/>
            </a:ext>
          </a:extLst>
        </a:blip>
        <a:srcRect/>
        <a:stretch>
          <a:fillRect/>
        </a:stretch>
      </xdr:blipFill>
      <xdr:spPr bwMode="auto">
        <a:xfrm>
          <a:off x="2307982" y="13200529"/>
          <a:ext cx="930519" cy="93164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Advice" refreshedDate="46075.871502199072" createdVersion="8" refreshedVersion="8" minRefreshableVersion="3" recordCount="4" xr:uid="{24401F33-CEC3-4906-B6E8-8A500D94DC80}">
  <cacheSource type="worksheet">
    <worksheetSource ref="A1:D5" sheet="tb_Competitors_Data"/>
  </cacheSource>
  <cacheFields count="4">
    <cacheField name="Month" numFmtId="165">
      <sharedItems containsSemiMixedTypes="0" containsNonDate="0" containsDate="1" containsString="0" minDate="2026-01-01T00:00:00" maxDate="2026-01-02T00:00:00"/>
    </cacheField>
    <cacheField name="Competitors_ID" numFmtId="0">
      <sharedItems count="5">
        <s v="Sponsor ສະປອນເຊີ "/>
        <s v="M-150"/>
        <s v="Sting Laos"/>
        <s v="CarabaoLaos ຄາຣາບາວລາວ"/>
        <s v="KratingDaeng ກະທິງແດງ " u="1"/>
      </sharedItems>
    </cacheField>
    <cacheField name="Monthly_Followers" numFmtId="3">
      <sharedItems containsMixedTypes="1" containsNumber="1" containsInteger="1" minValue="52946" maxValue="2100000"/>
    </cacheField>
    <cacheField name="Monthly_Posts" numFmtId="3">
      <sharedItems containsMixedTypes="1" containsNumber="1" containsInteger="1" minValue="0" maxValue="11"/>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Advice" refreshedDate="46075.871503240742" createdVersion="8" refreshedVersion="8" minRefreshableVersion="3" recordCount="6" xr:uid="{F333C12F-2165-41A8-BE19-203817D100F6}">
  <cacheSource type="worksheet">
    <worksheetSource name="tb_Users_Input_Data"/>
  </cacheSource>
  <cacheFields count="6">
    <cacheField name="Month" numFmtId="165">
      <sharedItems containsSemiMixedTypes="0" containsNonDate="0" containsDate="1" containsString="0" minDate="2024-12-01T00:00:00" maxDate="2026-01-02T00:00:00" count="3">
        <d v="2026-01-01T00:00:00"/>
        <d v="2025-01-01T00:00:00" u="1"/>
        <d v="2024-12-01T00:00:00" u="1"/>
      </sharedItems>
      <fieldGroup par="5"/>
    </cacheField>
    <cacheField name="Category" numFmtId="0">
      <sharedItems count="8">
        <s v="Shop_Location"/>
        <s v="Price"/>
        <s v="order"/>
        <s v="Product"/>
        <s v="Campaign"/>
        <s v="Dealer"/>
        <s v="Place" u="1"/>
        <s v="Promotion" u="1"/>
      </sharedItems>
    </cacheField>
    <cacheField name="Amount_Users_Input" numFmtId="164">
      <sharedItems containsSemiMixedTypes="0" containsString="0" containsNumber="1" containsInteger="1" minValue="0" maxValue="28"/>
    </cacheField>
    <cacheField name="Months (Month)" numFmtId="0" databaseField="0">
      <fieldGroup base="0">
        <rangePr groupBy="months" startDate="2026-01-01T00:00:00" endDate="2026-01-02T00:00:00"/>
        <groupItems count="14">
          <s v="&lt;1/1/2026"/>
          <s v="Jan"/>
          <s v="Feb"/>
          <s v="Mar"/>
          <s v="Apr"/>
          <s v="May"/>
          <s v="Jun"/>
          <s v="Jul"/>
          <s v="Aug"/>
          <s v="Sep"/>
          <s v="Oct"/>
          <s v="Nov"/>
          <s v="Dec"/>
          <s v="&gt;1/2/2026"/>
        </groupItems>
      </fieldGroup>
    </cacheField>
    <cacheField name="Quarters (Month)" numFmtId="0" databaseField="0">
      <fieldGroup base="0">
        <rangePr groupBy="quarters" startDate="2026-01-01T00:00:00" endDate="2026-01-02T00:00:00"/>
        <groupItems count="6">
          <s v="&lt;1/1/2026"/>
          <s v="Qtr1"/>
          <s v="Qtr2"/>
          <s v="Qtr3"/>
          <s v="Qtr4"/>
          <s v="&gt;1/2/2026"/>
        </groupItems>
      </fieldGroup>
    </cacheField>
    <cacheField name="Years (Month)" numFmtId="0" databaseField="0">
      <fieldGroup base="0">
        <rangePr groupBy="years" startDate="2026-01-01T00:00:00" endDate="2026-01-02T00:00:00"/>
        <groupItems count="3">
          <s v="&lt;1/1/2026"/>
          <s v="2026"/>
          <s v="&gt;1/2/2026"/>
        </groupItems>
      </fieldGroup>
    </cacheField>
  </cacheFields>
  <extLst>
    <ext xmlns:x14="http://schemas.microsoft.com/office/spreadsheetml/2009/9/main" uri="{725AE2AE-9491-48be-B2B4-4EB974FC3084}">
      <x14:pivotCacheDefinition pivotCacheId="2131856399"/>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Advice" refreshedDate="46075.871503935188" createdVersion="8" refreshedVersion="8" minRefreshableVersion="3" recordCount="13" xr:uid="{7A6EC28F-58D6-405E-A364-C097289B6DDD}">
  <cacheSource type="worksheet">
    <worksheetSource ref="A1:AD14" sheet="tb_Overview_Data"/>
  </cacheSource>
  <cacheFields count="33">
    <cacheField name="Content Details" numFmtId="0">
      <sharedItems containsNonDate="0" containsString="0" containsBlank="1"/>
    </cacheField>
    <cacheField name="Month" numFmtId="165">
      <sharedItems containsSemiMixedTypes="0" containsNonDate="0" containsDate="1" containsString="0" minDate="2025-01-01T00:00:00" maxDate="2026-01-02T00:00:00" count="3">
        <d v="2026-01-01T00:00:00"/>
        <d v="2025-01-01T00:00:00" u="1"/>
        <d v="2025-01-02T00:00:00" u="1"/>
      </sharedItems>
      <fieldGroup par="32"/>
    </cacheField>
    <cacheField name="Post Date" numFmtId="0">
      <sharedItems containsNonDate="0" containsDate="1" containsString="0" containsBlank="1" minDate="2026-01-12T19:00:00" maxDate="2026-01-27T22:34:00"/>
    </cacheField>
    <cacheField name="Content Objective" numFmtId="0">
      <sharedItems containsBlank="1"/>
    </cacheField>
    <cacheField name="Content Style " numFmtId="0">
      <sharedItems containsBlank="1"/>
    </cacheField>
    <cacheField name="Related Product" numFmtId="0">
      <sharedItems containsBlank="1"/>
    </cacheField>
    <cacheField name="Media Format" numFmtId="0">
      <sharedItems containsBlank="1"/>
    </cacheField>
    <cacheField name="Campaign Base" numFmtId="0">
      <sharedItems containsBlank="1"/>
    </cacheField>
    <cacheField name="Campaign Name" numFmtId="0">
      <sharedItems containsNonDate="0" containsString="0" containsBlank="1"/>
    </cacheField>
    <cacheField name="Post Link " numFmtId="0">
      <sharedItems containsBlank="1"/>
    </cacheField>
    <cacheField name="Content_x000a_Performance" numFmtId="0">
      <sharedItems containsNonDate="0" containsString="0" containsBlank="1"/>
    </cacheField>
    <cacheField name="Impressions" numFmtId="0">
      <sharedItems containsSemiMixedTypes="0" containsString="0" containsNumber="1" containsInteger="1" minValue="4228" maxValue="598250"/>
    </cacheField>
    <cacheField name="Impressions (KPI)" numFmtId="164">
      <sharedItems containsNonDate="0" containsString="0" containsBlank="1"/>
    </cacheField>
    <cacheField name="Reach " numFmtId="164">
      <sharedItems containsString="0" containsBlank="1" containsNumber="1" containsInteger="1" minValue="1266300" maxValue="1266300"/>
    </cacheField>
    <cacheField name="Post Reach" numFmtId="0">
      <sharedItems containsSemiMixedTypes="0" containsString="0" containsNumber="1" containsInteger="1" minValue="1643" maxValue="411096"/>
    </cacheField>
    <cacheField name="Reach _x000a_(KPI)" numFmtId="164">
      <sharedItems containsNonDate="0" containsString="0" containsBlank="1"/>
    </cacheField>
    <cacheField name="Engagement" numFmtId="164">
      <sharedItems containsSemiMixedTypes="0" containsString="0" containsNumber="1" containsInteger="1" minValue="174" maxValue="10879"/>
    </cacheField>
    <cacheField name="Engagement (KPI)" numFmtId="164">
      <sharedItems containsNonDate="0" containsString="0" containsBlank="1"/>
    </cacheField>
    <cacheField name="FB Live 3Sec" numFmtId="164">
      <sharedItems containsString="0" containsBlank="1" containsNumber="1" containsInteger="1" minValue="1384" maxValue="1384"/>
    </cacheField>
    <cacheField name="3 Sec Video Views" numFmtId="164">
      <sharedItems containsString="0" containsBlank="1" containsNumber="1" containsInteger="1" minValue="45706" maxValue="136221"/>
    </cacheField>
    <cacheField name="3 sec Video Views (KPI)" numFmtId="164">
      <sharedItems containsNonDate="0" containsString="0" containsBlank="1"/>
    </cacheField>
    <cacheField name=" 15 Sec Video Views " numFmtId="164">
      <sharedItems containsNonDate="0" containsString="0" containsBlank="1"/>
    </cacheField>
    <cacheField name=" 15 Sec Vodeo Views (KPI)" numFmtId="164">
      <sharedItems containsNonDate="0" containsString="0" containsBlank="1"/>
    </cacheField>
    <cacheField name="Reels" numFmtId="164">
      <sharedItems containsNonDate="0" containsString="0" containsBlank="1"/>
    </cacheField>
    <cacheField name="Reels (KPI)" numFmtId="164">
      <sharedItems containsNonDate="0" containsString="0" containsBlank="1"/>
    </cacheField>
    <cacheField name="Link Click" numFmtId="164">
      <sharedItems containsNonDate="0" containsString="0" containsBlank="1"/>
    </cacheField>
    <cacheField name="Link Click (KPI)" numFmtId="164">
      <sharedItems containsNonDate="0" containsString="0" containsBlank="1"/>
    </cacheField>
    <cacheField name="Follower" numFmtId="164">
      <sharedItems containsString="0" containsBlank="1" containsNumber="1" containsInteger="1" minValue="52946" maxValue="52946"/>
    </cacheField>
    <cacheField name="Page Visit" numFmtId="164">
      <sharedItems containsString="0" containsBlank="1" containsNumber="1" containsInteger="1" minValue="38895" maxValue="38895"/>
    </cacheField>
    <cacheField name="Additional Note" numFmtId="0">
      <sharedItems containsNonDate="0" containsString="0" containsBlank="1"/>
    </cacheField>
    <cacheField name="Months (Month)" numFmtId="0" databaseField="0">
      <fieldGroup base="1">
        <rangePr groupBy="months" startDate="2026-01-01T00:00:00" endDate="2026-01-02T00:00:00"/>
        <groupItems count="14">
          <s v="&lt;1/1/2026"/>
          <s v="Jan"/>
          <s v="Feb"/>
          <s v="Mar"/>
          <s v="Apr"/>
          <s v="May"/>
          <s v="Jun"/>
          <s v="Jul"/>
          <s v="Aug"/>
          <s v="Sep"/>
          <s v="Oct"/>
          <s v="Nov"/>
          <s v="Dec"/>
          <s v="&gt;1/2/2026"/>
        </groupItems>
      </fieldGroup>
    </cacheField>
    <cacheField name="Quarters (Month)" numFmtId="0" databaseField="0">
      <fieldGroup base="1">
        <rangePr groupBy="quarters" startDate="2026-01-01T00:00:00" endDate="2026-01-02T00:00:00"/>
        <groupItems count="6">
          <s v="&lt;1/1/2026"/>
          <s v="Qtr1"/>
          <s v="Qtr2"/>
          <s v="Qtr3"/>
          <s v="Qtr4"/>
          <s v="&gt;1/2/2026"/>
        </groupItems>
      </fieldGroup>
    </cacheField>
    <cacheField name="Years (Month)" numFmtId="0" databaseField="0">
      <fieldGroup base="1">
        <rangePr groupBy="years" startDate="2026-01-01T00:00:00" endDate="2026-01-02T00:00:00"/>
        <groupItems count="3">
          <s v="&lt;1/1/2026"/>
          <s v="2026"/>
          <s v="&gt;1/2/2026"/>
        </groupItems>
      </fieldGroup>
    </cacheField>
  </cacheFields>
  <extLst>
    <ext xmlns:x14="http://schemas.microsoft.com/office/spreadsheetml/2009/9/main" uri="{725AE2AE-9491-48be-B2B4-4EB974FC3084}">
      <x14:pivotCacheDefinition pivotCacheId="1940011660"/>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4">
  <r>
    <d v="2026-01-01T00:00:00"/>
    <x v="0"/>
    <n v="52946"/>
    <n v="11"/>
  </r>
  <r>
    <d v="2026-01-01T00:00:00"/>
    <x v="1"/>
    <n v="2100000"/>
    <n v="6"/>
  </r>
  <r>
    <d v="2026-01-01T00:00:00"/>
    <x v="2"/>
    <n v="126000"/>
    <n v="0"/>
  </r>
  <r>
    <d v="2026-01-01T00:00:00"/>
    <x v="3"/>
    <s v="เพจไม่มีการเคลื่อนไหวเกี่ยวกับผลิตภัณ และมีการเปลี่ยนชื่อ"/>
    <s v="เพจปิด"/>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6">
  <r>
    <x v="0"/>
    <x v="0"/>
    <n v="0"/>
  </r>
  <r>
    <x v="0"/>
    <x v="1"/>
    <n v="0"/>
  </r>
  <r>
    <x v="0"/>
    <x v="2"/>
    <n v="2"/>
  </r>
  <r>
    <x v="0"/>
    <x v="3"/>
    <n v="0"/>
  </r>
  <r>
    <x v="0"/>
    <x v="4"/>
    <n v="28"/>
  </r>
  <r>
    <x v="0"/>
    <x v="5"/>
    <n v="0"/>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3">
  <r>
    <m/>
    <x v="0"/>
    <d v="2026-01-12T19:00:00"/>
    <s v="AWR"/>
    <s v="Special day"/>
    <s v="All "/>
    <s v="Photos"/>
    <s v="No"/>
    <m/>
    <s v="https://www.facebook.com/SponsorLaosOfficial/posts/pfbid0nKRdgVbZuY4vaDrnZbSHWHVvFK7EBY9QcAjjS1PU3aEUXCe1ZsuLyHFwHne6s49hl"/>
    <m/>
    <n v="478486"/>
    <m/>
    <m/>
    <n v="400173"/>
    <m/>
    <n v="1403"/>
    <m/>
    <m/>
    <m/>
    <m/>
    <m/>
    <m/>
    <m/>
    <m/>
    <m/>
    <m/>
    <m/>
    <m/>
    <m/>
  </r>
  <r>
    <m/>
    <x v="0"/>
    <d v="2026-01-12T19:00:00"/>
    <s v="AWR"/>
    <s v="Special day"/>
    <s v="All "/>
    <s v="Photos"/>
    <s v="Yes"/>
    <m/>
    <s v="https://www.facebook.com/SponsorLaosOfficial/posts/pfbid02Y1D4hMZbAnHty6V5gnt9E6w3HB7nSY2TA6WLVY7XSP39dTrVQamqX3UzXK2WcNzPl"/>
    <m/>
    <n v="578697"/>
    <m/>
    <m/>
    <n v="411096"/>
    <m/>
    <n v="10879"/>
    <m/>
    <m/>
    <m/>
    <m/>
    <m/>
    <m/>
    <m/>
    <m/>
    <m/>
    <m/>
    <m/>
    <m/>
    <m/>
  </r>
  <r>
    <m/>
    <x v="0"/>
    <d v="2026-01-13T20:30:00"/>
    <s v="AWR"/>
    <s v="CAMPAIGN"/>
    <s v="All "/>
    <s v="Photos"/>
    <s v="Yes"/>
    <m/>
    <s v="https://www.facebook.com/SponsorLaosOfficial/posts/pfbid0gSab5VnknfhGxNKqHP5EUm8pm26DhuqNbPXXFvADrvvDNCtYAG1s7X93wpy7AXFsl"/>
    <m/>
    <n v="490681"/>
    <m/>
    <m/>
    <n v="352435"/>
    <m/>
    <n v="3479"/>
    <m/>
    <m/>
    <m/>
    <m/>
    <m/>
    <m/>
    <m/>
    <m/>
    <m/>
    <m/>
    <m/>
    <m/>
    <m/>
  </r>
  <r>
    <m/>
    <x v="0"/>
    <d v="2026-01-16T00:28:00"/>
    <s v="AWR"/>
    <s v="CAMPAIGN"/>
    <s v="All "/>
    <s v="Videos"/>
    <s v="Yes"/>
    <m/>
    <s v="https://www.facebook.com/reel/1447062616976115/"/>
    <m/>
    <n v="436878"/>
    <m/>
    <m/>
    <n v="153196"/>
    <m/>
    <n v="1122"/>
    <m/>
    <m/>
    <n v="136221"/>
    <m/>
    <m/>
    <m/>
    <m/>
    <m/>
    <m/>
    <m/>
    <m/>
    <m/>
    <m/>
  </r>
  <r>
    <m/>
    <x v="0"/>
    <d v="2026-01-19T22:35:00"/>
    <s v="AWR"/>
    <s v="CAMPAIGN"/>
    <s v="All "/>
    <s v="Photos"/>
    <s v="Yes"/>
    <m/>
    <s v="https://www.facebook.com/SponsorLaosOfficial/posts/pfbid02DsBr94CcBnaxtTYXj7NVH4e6rta5NDRV8oJtiVDLdnUGcCkRMvhP46uFKb1eBYBzl"/>
    <m/>
    <n v="598250"/>
    <m/>
    <m/>
    <n v="397829"/>
    <m/>
    <n v="4878"/>
    <m/>
    <m/>
    <m/>
    <m/>
    <m/>
    <m/>
    <m/>
    <m/>
    <m/>
    <m/>
    <m/>
    <m/>
    <m/>
  </r>
  <r>
    <m/>
    <x v="0"/>
    <d v="2026-01-19T23:51:00"/>
    <s v="AWR"/>
    <s v="CAMPAIGN"/>
    <s v="All "/>
    <s v="Videos"/>
    <s v="Yes"/>
    <m/>
    <s v="https://www.facebook.com/reel/1402548504898295/"/>
    <m/>
    <n v="147715"/>
    <m/>
    <m/>
    <n v="93422"/>
    <m/>
    <n v="971"/>
    <m/>
    <m/>
    <n v="45706"/>
    <m/>
    <m/>
    <m/>
    <m/>
    <m/>
    <m/>
    <m/>
    <m/>
    <m/>
    <m/>
  </r>
  <r>
    <m/>
    <x v="0"/>
    <d v="2026-01-20T20:55:00"/>
    <s v="AWR"/>
    <s v="CAMPAIGN"/>
    <s v="All "/>
    <s v="Photos"/>
    <s v="Yes"/>
    <m/>
    <s v="https://www.facebook.com/SponsorLaosOfficial/posts/pfbid0MMBxsgR8xczJ8H7PiTXeTEbzNgK4CJo7wADMKxiHaQAjM3P8JEUM9u3i7pgAsmbHl"/>
    <m/>
    <n v="453320"/>
    <m/>
    <m/>
    <n v="406550"/>
    <m/>
    <n v="2059"/>
    <m/>
    <m/>
    <m/>
    <m/>
    <m/>
    <m/>
    <m/>
    <m/>
    <m/>
    <m/>
    <m/>
    <m/>
    <m/>
  </r>
  <r>
    <m/>
    <x v="0"/>
    <d v="2026-01-25T23:25:00"/>
    <s v="AWR"/>
    <s v="CAMPAIGN"/>
    <s v="All "/>
    <s v="Text"/>
    <s v="Yes"/>
    <m/>
    <s v="https://www.facebook.com/SponsorLaosOfficial/posts/pfbid02VrARPJPeBsf2eMyqtAy3XeHSDLEqrveNJSys2q2GLpqGZAvp6bxqWf11HiQxZ3eQl"/>
    <m/>
    <n v="4319"/>
    <m/>
    <m/>
    <n v="1643"/>
    <m/>
    <n v="298"/>
    <m/>
    <m/>
    <m/>
    <m/>
    <m/>
    <m/>
    <m/>
    <m/>
    <m/>
    <m/>
    <m/>
    <m/>
    <m/>
  </r>
  <r>
    <m/>
    <x v="0"/>
    <d v="2026-01-26T03:59:00"/>
    <s v="AWR"/>
    <s v="CAMPAIGN"/>
    <s v="All "/>
    <s v="Live"/>
    <s v="Yes"/>
    <m/>
    <s v="https://www.facebook.com/SponsorLaosOfficial/videos/1184865630475064/"/>
    <m/>
    <n v="11700"/>
    <m/>
    <m/>
    <n v="6180"/>
    <m/>
    <n v="7745"/>
    <m/>
    <n v="1384"/>
    <m/>
    <m/>
    <m/>
    <m/>
    <m/>
    <m/>
    <m/>
    <m/>
    <m/>
    <m/>
    <m/>
  </r>
  <r>
    <m/>
    <x v="0"/>
    <d v="2026-01-27T20:42:00"/>
    <s v="AWR"/>
    <s v="CAMPAIGN"/>
    <s v="All "/>
    <s v="Photos"/>
    <s v="Yes"/>
    <m/>
    <s v="https://www.facebook.com/SponsorLaosOfficial/posts/pfbid0GPrhHE4zagaZU1of2uH3o3r8ib7woi4p52NaUyjaxYVFWwvvnxNJxgVdbsAXA4eNl"/>
    <m/>
    <n v="4228"/>
    <m/>
    <m/>
    <n v="1794"/>
    <m/>
    <n v="174"/>
    <m/>
    <m/>
    <m/>
    <m/>
    <m/>
    <m/>
    <m/>
    <m/>
    <m/>
    <m/>
    <m/>
    <m/>
    <m/>
  </r>
  <r>
    <m/>
    <x v="0"/>
    <d v="2026-01-27T22:34:00"/>
    <s v="AWR"/>
    <s v="CAMPAIGN"/>
    <s v="All "/>
    <s v="Photos"/>
    <s v="Yes"/>
    <m/>
    <s v="https://www.facebook.com/SponsorLaosOfficial/posts/pfbid0yXfMTwebaifq1dCSNvqqdcr14vzcwmQ7xooTLRgfiYStV7rfFaM2dnJymXBBMXXBl"/>
    <m/>
    <n v="10636"/>
    <m/>
    <m/>
    <n v="4010"/>
    <m/>
    <n v="862"/>
    <m/>
    <m/>
    <m/>
    <m/>
    <m/>
    <m/>
    <m/>
    <m/>
    <m/>
    <m/>
    <m/>
    <m/>
    <m/>
  </r>
  <r>
    <m/>
    <x v="0"/>
    <m/>
    <m/>
    <m/>
    <m/>
    <s v="Lead"/>
    <m/>
    <m/>
    <m/>
    <m/>
    <n v="578376"/>
    <m/>
    <m/>
    <n v="266376"/>
    <m/>
    <n v="5419"/>
    <m/>
    <m/>
    <m/>
    <m/>
    <m/>
    <m/>
    <m/>
    <m/>
    <m/>
    <m/>
    <m/>
    <m/>
    <m/>
  </r>
  <r>
    <m/>
    <x v="0"/>
    <m/>
    <m/>
    <m/>
    <m/>
    <m/>
    <m/>
    <m/>
    <m/>
    <m/>
    <n v="89907"/>
    <m/>
    <n v="1266300"/>
    <n v="34390"/>
    <m/>
    <n v="744"/>
    <m/>
    <m/>
    <m/>
    <m/>
    <m/>
    <m/>
    <m/>
    <m/>
    <m/>
    <m/>
    <n v="52946"/>
    <n v="38895"/>
    <m/>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11.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57F54951-AC10-4036-8C71-5020FBC6A2C7}" name="Pivot_EngVDO" cacheId="2" applyNumberFormats="0" applyBorderFormats="0" applyFontFormats="0" applyPatternFormats="0" applyAlignmentFormats="0" applyWidthHeightFormats="1" dataCaption="Values" updatedVersion="8" minRefreshableVersion="3" rowGrandTotals="0" colGrandTotals="0" itemPrintTitles="1" createdVersion="8" indent="0" outline="1" outlineData="1" multipleFieldFilters="0" chartFormat="43">
  <location ref="H3:J5" firstHeaderRow="0" firstDataRow="1" firstDataCol="1"/>
  <pivotFields count="33">
    <pivotField showAll="0"/>
    <pivotField showAll="0">
      <items count="4">
        <item m="1" x="1"/>
        <item m="1" x="2"/>
        <item x="0"/>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dataField="1" showAll="0"/>
    <pivotField showAll="0"/>
    <pivotField showAll="0"/>
    <pivotField dataField="1" showAll="0"/>
    <pivotField showAll="0"/>
    <pivotField showAll="0"/>
    <pivotField showAll="0"/>
    <pivotField showAll="0"/>
    <pivotField showAll="0"/>
    <pivotField showAll="0"/>
    <pivotField showAll="0"/>
    <pivotField showAll="0"/>
    <pivotField showAll="0"/>
    <pivotField showAll="0"/>
    <pivotField axis="axisRow" showAll="0">
      <items count="15">
        <item h="1" x="0"/>
        <item x="1"/>
        <item x="2"/>
        <item x="3"/>
        <item x="4"/>
        <item x="5"/>
        <item x="6"/>
        <item x="7"/>
        <item x="8"/>
        <item x="9"/>
        <item x="10"/>
        <item x="11"/>
        <item x="12"/>
        <item h="1" x="13"/>
        <item t="default"/>
      </items>
    </pivotField>
    <pivotField showAll="0"/>
    <pivotField axis="axisRow" showAll="0">
      <items count="4">
        <item x="0"/>
        <item x="1"/>
        <item x="2"/>
        <item t="default"/>
      </items>
    </pivotField>
  </pivotFields>
  <rowFields count="2">
    <field x="32"/>
    <field x="30"/>
  </rowFields>
  <rowItems count="2">
    <i>
      <x v="1"/>
    </i>
    <i r="1">
      <x v="1"/>
    </i>
  </rowItems>
  <colFields count="1">
    <field x="-2"/>
  </colFields>
  <colItems count="2">
    <i>
      <x/>
    </i>
    <i i="1">
      <x v="1"/>
    </i>
  </colItems>
  <dataFields count="2">
    <dataField name="Sum of Engagement" fld="16" baseField="0" baseItem="0"/>
    <dataField name="Sum of 3 Sec Video Views" fld="19" baseField="0" baseItem="0"/>
  </dataFields>
  <formats count="1">
    <format dxfId="24">
      <pivotArea outline="0" collapsedLevelsAreSubtotals="1" fieldPosition="0"/>
    </format>
  </formats>
  <chartFormats count="6">
    <chartFormat chart="4" format="4" series="1">
      <pivotArea type="data" outline="0" fieldPosition="0">
        <references count="1">
          <reference field="4294967294" count="1" selected="0">
            <x v="0"/>
          </reference>
        </references>
      </pivotArea>
    </chartFormat>
    <chartFormat chart="4" format="5" series="1">
      <pivotArea type="data" outline="0" fieldPosition="0">
        <references count="1">
          <reference field="4294967294" count="1" selected="0">
            <x v="1"/>
          </reference>
        </references>
      </pivotArea>
    </chartFormat>
    <chartFormat chart="34" format="6" series="1">
      <pivotArea type="data" outline="0" fieldPosition="0">
        <references count="1">
          <reference field="4294967294" count="1" selected="0">
            <x v="0"/>
          </reference>
        </references>
      </pivotArea>
    </chartFormat>
    <chartFormat chart="34" format="7" series="1">
      <pivotArea type="data" outline="0" fieldPosition="0">
        <references count="1">
          <reference field="4294967294" count="1" selected="0">
            <x v="1"/>
          </reference>
        </references>
      </pivotArea>
    </chartFormat>
    <chartFormat chart="35" format="8" series="1">
      <pivotArea type="data" outline="0" fieldPosition="0">
        <references count="1">
          <reference field="4294967294" count="1" selected="0">
            <x v="0"/>
          </reference>
        </references>
      </pivotArea>
    </chartFormat>
    <chartFormat chart="35" format="9" series="1">
      <pivotArea type="data" outline="0" fieldPosition="0">
        <references count="1">
          <reference field="4294967294"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A3BCCB2A-B0EF-42C6-BDD4-47FF867985A1}" name="Pivot_Follower" cacheId="2" applyNumberFormats="0" applyBorderFormats="0" applyFontFormats="0" applyPatternFormats="0" applyAlignmentFormats="0" applyWidthHeightFormats="1" dataCaption="Values" updatedVersion="8" minRefreshableVersion="3" rowGrandTotals="0" colGrandTotals="0" itemPrintTitles="1" createdVersion="8" indent="0" outline="1" outlineData="1" multipleFieldFilters="0" chartFormat="38">
  <location ref="E19:F21" firstHeaderRow="1" firstDataRow="1" firstDataCol="1"/>
  <pivotFields count="33">
    <pivotField showAll="0"/>
    <pivotField showAll="0">
      <items count="4">
        <item m="1" x="1"/>
        <item m="1" x="2"/>
        <item x="0"/>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dataField="1" showAll="0"/>
    <pivotField showAll="0"/>
    <pivotField showAll="0"/>
    <pivotField axis="axisRow" showAll="0">
      <items count="15">
        <item h="1" x="0"/>
        <item x="1"/>
        <item x="2"/>
        <item x="3"/>
        <item x="4"/>
        <item x="5"/>
        <item x="6"/>
        <item x="7"/>
        <item x="8"/>
        <item x="9"/>
        <item x="10"/>
        <item x="11"/>
        <item x="12"/>
        <item h="1" x="13"/>
        <item t="default"/>
      </items>
    </pivotField>
    <pivotField showAll="0"/>
    <pivotField axis="axisRow" showAll="0">
      <items count="4">
        <item x="0"/>
        <item x="1"/>
        <item x="2"/>
        <item t="default"/>
      </items>
    </pivotField>
  </pivotFields>
  <rowFields count="2">
    <field x="32"/>
    <field x="30"/>
  </rowFields>
  <rowItems count="2">
    <i>
      <x v="1"/>
    </i>
    <i r="1">
      <x v="1"/>
    </i>
  </rowItems>
  <colItems count="1">
    <i/>
  </colItems>
  <dataFields count="1">
    <dataField name="Sum of Follower" fld="27" baseField="0" baseItem="0" numFmtId="164"/>
  </dataFields>
  <formats count="1">
    <format dxfId="25">
      <pivotArea outline="0" collapsedLevelsAreSubtotals="1" fieldPosition="0"/>
    </format>
  </formats>
  <chartFormats count="1">
    <chartFormat chart="3"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0931E9E4-FB11-43BA-8559-9A97CF1E8943}" name="Pivot_Competitor Follower" cacheId="0" applyNumberFormats="0" applyBorderFormats="0" applyFontFormats="0" applyPatternFormats="0" applyAlignmentFormats="0" applyWidthHeightFormats="1" dataCaption="Values" updatedVersion="8" minRefreshableVersion="3" rowGrandTotals="0" colGrandTotals="0" itemPrintTitles="1" createdVersion="8" indent="0" outline="1" outlineData="1" multipleFieldFilters="0" chartFormat="5">
  <location ref="H19:I23" firstHeaderRow="1" firstDataRow="1" firstDataCol="1"/>
  <pivotFields count="4">
    <pivotField numFmtId="165" showAll="0"/>
    <pivotField axis="axisRow" showAll="0">
      <items count="6">
        <item m="1" x="4"/>
        <item x="1"/>
        <item x="2"/>
        <item x="3"/>
        <item x="0"/>
        <item t="default"/>
      </items>
    </pivotField>
    <pivotField dataField="1" numFmtId="3" showAll="0"/>
    <pivotField showAll="0"/>
  </pivotFields>
  <rowFields count="1">
    <field x="1"/>
  </rowFields>
  <rowItems count="4">
    <i>
      <x v="1"/>
    </i>
    <i>
      <x v="2"/>
    </i>
    <i>
      <x v="3"/>
    </i>
    <i>
      <x v="4"/>
    </i>
  </rowItems>
  <colItems count="1">
    <i/>
  </colItems>
  <dataFields count="1">
    <dataField name="Sum of Monthly_Followers" fld="2" baseField="0" baseItem="0"/>
  </dataFields>
  <chartFormats count="1">
    <chartFormat chart="4"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0ABA2B3D-07B2-445C-A996-3DD49BACA244}" name="Pivot_FB Live" cacheId="2" applyNumberFormats="0" applyBorderFormats="0" applyFontFormats="0" applyPatternFormats="0" applyAlignmentFormats="0" applyWidthHeightFormats="1" dataCaption="Values" updatedVersion="8" minRefreshableVersion="3" useAutoFormatting="1" rowGrandTotals="0" colGrandTotals="0" itemPrintTitles="1" createdVersion="8" indent="0" outline="1" outlineData="1" multipleFieldFilters="0" chartFormat="41">
  <location ref="R3:S5" firstHeaderRow="1" firstDataRow="1" firstDataCol="1"/>
  <pivotFields count="33">
    <pivotField showAll="0"/>
    <pivotField showAll="0">
      <items count="4">
        <item m="1" x="1"/>
        <item h="1" m="1" x="2"/>
        <item h="1" x="0"/>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dataField="1" showAll="0"/>
    <pivotField showAll="0"/>
    <pivotField showAll="0"/>
    <pivotField showAll="0"/>
    <pivotField showAll="0"/>
    <pivotField showAll="0"/>
    <pivotField showAll="0"/>
    <pivotField showAll="0"/>
    <pivotField showAll="0"/>
    <pivotField showAll="0"/>
    <pivotField showAll="0"/>
    <pivotField showAll="0"/>
    <pivotField axis="axisRow" showAll="0">
      <items count="15">
        <item h="1" x="0"/>
        <item x="1"/>
        <item h="1" x="2"/>
        <item h="1" x="3"/>
        <item h="1" x="4"/>
        <item h="1" x="5"/>
        <item x="6"/>
        <item x="7"/>
        <item x="8"/>
        <item x="9"/>
        <item x="10"/>
        <item x="11"/>
        <item x="12"/>
        <item h="1" x="13"/>
        <item t="default"/>
      </items>
    </pivotField>
    <pivotField showAll="0"/>
    <pivotField axis="axisRow" showAll="0">
      <items count="4">
        <item x="0"/>
        <item x="1"/>
        <item x="2"/>
        <item t="default"/>
      </items>
    </pivotField>
  </pivotFields>
  <rowFields count="2">
    <field x="32"/>
    <field x="30"/>
  </rowFields>
  <rowItems count="2">
    <i>
      <x v="1"/>
    </i>
    <i r="1">
      <x v="1"/>
    </i>
  </rowItems>
  <colItems count="1">
    <i/>
  </colItems>
  <dataFields count="1">
    <dataField name="Sum of FB Live 3Sec" fld="18" baseField="31" baseItem="0"/>
  </dataFields>
  <formats count="1">
    <format dxfId="26">
      <pivotArea outline="0" collapsedLevelsAreSubtotals="1" fieldPosition="0"/>
    </format>
  </formats>
  <chartFormats count="1">
    <chartFormat chart="7" format="3"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C0F4490A-C583-4560-8EAB-350EC5A9E455}" name="Pivot_Users Input" cacheId="1" applyNumberFormats="0" applyBorderFormats="0" applyFontFormats="0" applyPatternFormats="0" applyAlignmentFormats="0" applyWidthHeightFormats="1" dataCaption="Values" updatedVersion="8" minRefreshableVersion="3" rowGrandTotals="0" colGrandTotals="0" itemPrintTitles="1" createdVersion="8" indent="0" outline="1" outlineData="1" multipleFieldFilters="0" chartFormat="44">
  <location ref="B19:C27" firstHeaderRow="1" firstDataRow="1" firstDataCol="1"/>
  <pivotFields count="6">
    <pivotField numFmtId="165" showAll="0">
      <items count="4">
        <item m="1" x="2"/>
        <item m="1" x="1"/>
        <item x="0"/>
        <item t="default"/>
      </items>
    </pivotField>
    <pivotField axis="axisRow" showAll="0" sortType="ascending">
      <items count="9">
        <item m="1" x="6"/>
        <item x="1"/>
        <item m="1" x="7"/>
        <item x="0"/>
        <item x="2"/>
        <item x="3"/>
        <item x="4"/>
        <item x="5"/>
        <item t="default"/>
      </items>
      <autoSortScope>
        <pivotArea dataOnly="0" outline="0" fieldPosition="0">
          <references count="1">
            <reference field="4294967294" count="1" selected="0">
              <x v="0"/>
            </reference>
          </references>
        </pivotArea>
      </autoSortScope>
    </pivotField>
    <pivotField dataField="1" numFmtId="164" showAll="0"/>
    <pivotField axis="axisRow" showAll="0">
      <items count="15">
        <item sd="0" x="0"/>
        <item x="1"/>
        <item sd="0" x="2"/>
        <item sd="0" x="3"/>
        <item sd="0" x="4"/>
        <item sd="0" x="5"/>
        <item sd="0" x="6"/>
        <item sd="0" x="7"/>
        <item sd="0" x="8"/>
        <item sd="0" x="9"/>
        <item sd="0" x="10"/>
        <item sd="0" x="11"/>
        <item sd="0" x="12"/>
        <item sd="0" x="13"/>
        <item t="default"/>
      </items>
    </pivotField>
    <pivotField showAll="0">
      <items count="7">
        <item sd="0" x="1"/>
        <item sd="0" x="2"/>
        <item sd="0" x="3"/>
        <item sd="0" x="4"/>
        <item x="0"/>
        <item x="5"/>
        <item t="default"/>
      </items>
    </pivotField>
    <pivotField axis="axisRow" showAll="0">
      <items count="4">
        <item x="0"/>
        <item x="1"/>
        <item x="2"/>
        <item t="default"/>
      </items>
    </pivotField>
  </pivotFields>
  <rowFields count="3">
    <field x="5"/>
    <field x="3"/>
    <field x="1"/>
  </rowFields>
  <rowItems count="8">
    <i>
      <x v="1"/>
    </i>
    <i r="1">
      <x v="1"/>
    </i>
    <i r="2">
      <x v="3"/>
    </i>
    <i r="2">
      <x v="1"/>
    </i>
    <i r="2">
      <x v="7"/>
    </i>
    <i r="2">
      <x v="5"/>
    </i>
    <i r="2">
      <x v="4"/>
    </i>
    <i r="2">
      <x v="6"/>
    </i>
  </rowItems>
  <colItems count="1">
    <i/>
  </colItems>
  <dataFields count="1">
    <dataField name="Sum of Amount_Users_Input" fld="2" baseField="0" baseItem="0"/>
  </dataFields>
  <chartFormats count="3">
    <chartFormat chart="3" format="2" series="1">
      <pivotArea type="data" outline="0" fieldPosition="0">
        <references count="1">
          <reference field="4294967294" count="1" selected="0">
            <x v="0"/>
          </reference>
        </references>
      </pivotArea>
    </chartFormat>
    <chartFormat chart="41" format="3" series="1">
      <pivotArea type="data" outline="0" fieldPosition="0">
        <references count="1">
          <reference field="4294967294" count="1" selected="0">
            <x v="0"/>
          </reference>
        </references>
      </pivotArea>
    </chartFormat>
    <chartFormat chart="42" format="4"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A7C59B01-C0C1-48A2-AA77-229EE26CCFE3}" name="Pivot_Competitor Post" cacheId="0" applyNumberFormats="0" applyBorderFormats="0" applyFontFormats="0" applyPatternFormats="0" applyAlignmentFormats="0" applyWidthHeightFormats="1" dataCaption="Values" updatedVersion="8" minRefreshableVersion="3" rowGrandTotals="0" colGrandTotals="0" itemPrintTitles="1" createdVersion="8" indent="0" outline="1" outlineData="1" multipleFieldFilters="0" chartFormat="7">
  <location ref="L19:M23" firstHeaderRow="1" firstDataRow="1" firstDataCol="1"/>
  <pivotFields count="4">
    <pivotField showAll="0"/>
    <pivotField axis="axisRow" showAll="0">
      <items count="6">
        <item m="1" x="4"/>
        <item x="1"/>
        <item x="2"/>
        <item x="3"/>
        <item x="0"/>
        <item t="default"/>
      </items>
    </pivotField>
    <pivotField showAll="0"/>
    <pivotField dataField="1" showAll="0"/>
  </pivotFields>
  <rowFields count="1">
    <field x="1"/>
  </rowFields>
  <rowItems count="4">
    <i>
      <x v="1"/>
    </i>
    <i>
      <x v="2"/>
    </i>
    <i>
      <x v="3"/>
    </i>
    <i>
      <x v="4"/>
    </i>
  </rowItems>
  <colItems count="1">
    <i/>
  </colItems>
  <dataFields count="1">
    <dataField name="Sum of Monthly_Posts" fld="3" baseField="0" baseItem="0"/>
  </dataFields>
  <chartFormats count="1">
    <chartFormat chart="6"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AEBD719A-6416-4ABA-9208-12BD1C3E1487}" name="Pivot_VDOView" cacheId="2" applyNumberFormats="0" applyBorderFormats="0" applyFontFormats="0" applyPatternFormats="0" applyAlignmentFormats="0" applyWidthHeightFormats="1" dataCaption="Values" updatedVersion="8" minRefreshableVersion="3" rowGrandTotals="0" colGrandTotals="0" itemPrintTitles="1" createdVersion="8" indent="0" outline="1" outlineData="1" multipleFieldFilters="0" chartFormat="43">
  <location ref="O3:P5" firstHeaderRow="1" firstDataRow="1" firstDataCol="1"/>
  <pivotFields count="33">
    <pivotField showAll="0"/>
    <pivotField showAll="0">
      <items count="4">
        <item m="1" x="1"/>
        <item m="1" x="2"/>
        <item x="0"/>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dataField="1" showAll="0"/>
    <pivotField showAll="0"/>
    <pivotField showAll="0"/>
    <pivotField showAll="0"/>
    <pivotField showAll="0"/>
    <pivotField showAll="0"/>
    <pivotField showAll="0"/>
    <pivotField showAll="0"/>
    <pivotField showAll="0"/>
    <pivotField showAll="0"/>
    <pivotField showAll="0"/>
    <pivotField axis="axisRow" showAll="0">
      <items count="15">
        <item h="1" x="0"/>
        <item x="1"/>
        <item x="2"/>
        <item x="3"/>
        <item x="4"/>
        <item x="5"/>
        <item x="6"/>
        <item h="1" x="7"/>
        <item x="8"/>
        <item x="9"/>
        <item x="10"/>
        <item x="11"/>
        <item x="12"/>
        <item h="1" x="13"/>
        <item t="default"/>
      </items>
    </pivotField>
    <pivotField showAll="0"/>
    <pivotField axis="axisRow" showAll="0">
      <items count="4">
        <item x="0"/>
        <item x="1"/>
        <item x="2"/>
        <item t="default"/>
      </items>
    </pivotField>
  </pivotFields>
  <rowFields count="2">
    <field x="32"/>
    <field x="30"/>
  </rowFields>
  <rowItems count="2">
    <i>
      <x v="1"/>
    </i>
    <i r="1">
      <x v="1"/>
    </i>
  </rowItems>
  <colItems count="1">
    <i/>
  </colItems>
  <dataFields count="1">
    <dataField name="Sum of 3 Sec Video Views" fld="19" baseField="0" baseItem="0"/>
  </dataFields>
  <formats count="1">
    <format dxfId="27">
      <pivotArea outline="0" collapsedLevelsAreSubtotals="1" fieldPosition="0"/>
    </format>
  </formats>
  <chartFormats count="1">
    <chartFormat chart="6"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2FBFB0F3-BBD3-4DBC-B2F4-8A993546903B}" name="Pivot_Eng" cacheId="2" applyNumberFormats="0" applyBorderFormats="0" applyFontFormats="0" applyPatternFormats="0" applyAlignmentFormats="0" applyWidthHeightFormats="1" dataCaption="Values" updatedVersion="8" minRefreshableVersion="3" rowGrandTotals="0" colGrandTotals="0" itemPrintTitles="1" createdVersion="8" indent="0" outline="1" outlineData="1" multipleFieldFilters="0" chartFormat="57">
  <location ref="L3:M5" firstHeaderRow="1" firstDataRow="1" firstDataCol="1"/>
  <pivotFields count="33">
    <pivotField showAll="0"/>
    <pivotField showAll="0">
      <items count="4">
        <item m="1" x="1"/>
        <item m="1" x="2"/>
        <item x="0"/>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dataField="1"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axis="axisRow" showAll="0">
      <items count="15">
        <item h="1" x="0"/>
        <item x="1"/>
        <item x="2"/>
        <item x="3"/>
        <item x="4"/>
        <item x="5"/>
        <item x="6"/>
        <item x="7"/>
        <item x="8"/>
        <item x="9"/>
        <item x="10"/>
        <item x="11"/>
        <item x="12"/>
        <item h="1" x="13"/>
        <item t="default"/>
      </items>
    </pivotField>
    <pivotField showAll="0"/>
    <pivotField axis="axisRow" showAll="0">
      <items count="4">
        <item x="0"/>
        <item x="1"/>
        <item x="2"/>
        <item t="default"/>
      </items>
    </pivotField>
  </pivotFields>
  <rowFields count="2">
    <field x="32"/>
    <field x="30"/>
  </rowFields>
  <rowItems count="2">
    <i>
      <x v="1"/>
    </i>
    <i r="1">
      <x v="1"/>
    </i>
  </rowItems>
  <colItems count="1">
    <i/>
  </colItems>
  <dataFields count="1">
    <dataField name="Sum of Engagement" fld="16" baseField="0" baseItem="0" numFmtId="164"/>
  </dataFields>
  <formats count="1">
    <format dxfId="28">
      <pivotArea outline="0" collapsedLevelsAreSubtotals="1" fieldPosition="0"/>
    </format>
  </formats>
  <chartFormats count="3">
    <chartFormat chart="4" format="2" series="1">
      <pivotArea type="data" outline="0" fieldPosition="0">
        <references count="1">
          <reference field="4294967294" count="1" selected="0">
            <x v="0"/>
          </reference>
        </references>
      </pivotArea>
    </chartFormat>
    <chartFormat chart="17" format="3" series="1">
      <pivotArea type="data" outline="0" fieldPosition="0">
        <references count="1">
          <reference field="4294967294" count="1" selected="0">
            <x v="0"/>
          </reference>
        </references>
      </pivotArea>
    </chartFormat>
    <chartFormat chart="18" format="4"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3D53B3DC-F2E0-4DDC-A11A-7E8D7606B5E9}" name="Pivot_Reach" cacheId="2" applyNumberFormats="0" applyBorderFormats="0" applyFontFormats="0" applyPatternFormats="0" applyAlignmentFormats="0" applyWidthHeightFormats="1" dataCaption="Values" updatedVersion="8" minRefreshableVersion="3" rowGrandTotals="0" colGrandTotals="0" itemPrintTitles="1" createdVersion="8" indent="0" outline="1" outlineData="1" multipleFieldFilters="0" chartFormat="88">
  <location ref="E3:F5" firstHeaderRow="1" firstDataRow="1" firstDataCol="1"/>
  <pivotFields count="33">
    <pivotField showAll="0"/>
    <pivotField showAll="0">
      <items count="4">
        <item m="1" x="1"/>
        <item m="1" x="2"/>
        <item x="0"/>
        <item t="default"/>
      </items>
    </pivotField>
    <pivotField showAll="0"/>
    <pivotField showAll="0"/>
    <pivotField showAll="0"/>
    <pivotField showAll="0"/>
    <pivotField showAll="0"/>
    <pivotField showAll="0"/>
    <pivotField showAll="0"/>
    <pivotField showAll="0"/>
    <pivotField showAll="0"/>
    <pivotField showAll="0"/>
    <pivotField showAll="0"/>
    <pivotField dataField="1"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axis="axisRow" showAll="0">
      <items count="15">
        <item h="1" x="0"/>
        <item x="1"/>
        <item h="1" x="2"/>
        <item h="1" x="3"/>
        <item h="1" x="4"/>
        <item h="1" x="5"/>
        <item h="1" x="6"/>
        <item h="1" x="7"/>
        <item h="1" x="8"/>
        <item h="1" x="9"/>
        <item h="1" x="10"/>
        <item h="1" x="11"/>
        <item x="12"/>
        <item h="1" x="13"/>
        <item t="default"/>
      </items>
    </pivotField>
    <pivotField showAll="0"/>
    <pivotField axis="axisRow" showAll="0">
      <items count="4">
        <item x="0"/>
        <item x="1"/>
        <item x="2"/>
        <item t="default"/>
      </items>
    </pivotField>
  </pivotFields>
  <rowFields count="2">
    <field x="32"/>
    <field x="30"/>
  </rowFields>
  <rowItems count="2">
    <i>
      <x v="1"/>
    </i>
    <i r="1">
      <x v="1"/>
    </i>
  </rowItems>
  <colItems count="1">
    <i/>
  </colItems>
  <dataFields count="1">
    <dataField name="Sum of Reach " fld="13" baseField="27" baseItem="7" numFmtId="37"/>
  </dataFields>
  <formats count="3">
    <format dxfId="31">
      <pivotArea collapsedLevelsAreSubtotals="1" fieldPosition="0">
        <references count="1">
          <reference field="32" count="0"/>
        </references>
      </pivotArea>
    </format>
    <format dxfId="30">
      <pivotArea collapsedLevelsAreSubtotals="1" fieldPosition="0">
        <references count="2">
          <reference field="30" count="2">
            <x v="1"/>
            <x v="2"/>
          </reference>
          <reference field="32" count="0" selected="0"/>
        </references>
      </pivotArea>
    </format>
    <format dxfId="29">
      <pivotArea outline="0" collapsedLevelsAreSubtotals="1" fieldPosition="0"/>
    </format>
  </formats>
  <chartFormats count="1">
    <chartFormat chart="3" format="4"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0.xml><?xml version="1.0" encoding="utf-8"?>
<pivotTableDefinition xmlns="http://schemas.openxmlformats.org/spreadsheetml/2006/main" xmlns:mc="http://schemas.openxmlformats.org/markup-compatibility/2006" xmlns:xr="http://schemas.microsoft.com/office/spreadsheetml/2014/revision" mc:Ignorable="xr" xr:uid="{8A17181C-8636-4259-A514-CA51DF2279EF}" name="Pivot_Page Visit" cacheId="2" applyNumberFormats="0" applyBorderFormats="0" applyFontFormats="0" applyPatternFormats="0" applyAlignmentFormats="0" applyWidthHeightFormats="1" dataCaption="Values" updatedVersion="8" minRefreshableVersion="3" rowGrandTotals="0" colGrandTotals="0" itemPrintTitles="1" createdVersion="8" indent="0" outline="1" outlineData="1" multipleFieldFilters="0" chartFormat="4">
  <location ref="O19:P21" firstHeaderRow="1" firstDataRow="1" firstDataCol="1"/>
  <pivotFields count="33">
    <pivotField showAll="0"/>
    <pivotField showAll="0">
      <items count="4">
        <item m="1" x="1"/>
        <item m="1" x="2"/>
        <item x="0"/>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dataField="1" showAll="0"/>
    <pivotField showAll="0"/>
    <pivotField axis="axisRow" showAll="0">
      <items count="15">
        <item h="1" x="0"/>
        <item x="1"/>
        <item x="2"/>
        <item x="3"/>
        <item x="4"/>
        <item x="5"/>
        <item x="6"/>
        <item x="7"/>
        <item x="8"/>
        <item x="9"/>
        <item x="10"/>
        <item x="11"/>
        <item x="12"/>
        <item h="1" x="13"/>
        <item t="default"/>
      </items>
    </pivotField>
    <pivotField showAll="0"/>
    <pivotField axis="axisRow" showAll="0">
      <items count="4">
        <item x="0"/>
        <item x="1"/>
        <item x="2"/>
        <item t="default"/>
      </items>
    </pivotField>
  </pivotFields>
  <rowFields count="2">
    <field x="32"/>
    <field x="30"/>
  </rowFields>
  <rowItems count="2">
    <i>
      <x v="1"/>
    </i>
    <i r="1">
      <x v="1"/>
    </i>
  </rowItems>
  <colItems count="1">
    <i/>
  </colItems>
  <dataFields count="1">
    <dataField name="Sum of Page Visit" fld="28" baseField="0" baseItem="0" numFmtId="164"/>
  </dataFields>
  <formats count="1">
    <format dxfId="32">
      <pivotArea outline="0" collapsedLevelsAreSubtotals="1" fieldPosition="0"/>
    </format>
  </formats>
  <chartFormats count="1">
    <chartFormat chart="3"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1.xml><?xml version="1.0" encoding="utf-8"?>
<pivotTableDefinition xmlns="http://schemas.openxmlformats.org/spreadsheetml/2006/main" xmlns:mc="http://schemas.openxmlformats.org/markup-compatibility/2006" xmlns:xr="http://schemas.microsoft.com/office/spreadsheetml/2014/revision" mc:Ignorable="xr" xr:uid="{8B5F4E95-74A4-43DA-A78A-CBE6C2426063}" name="Pivot_Impression" cacheId="2" applyNumberFormats="0" applyBorderFormats="0" applyFontFormats="0" applyPatternFormats="0" applyAlignmentFormats="0" applyWidthHeightFormats="1" dataCaption="Values" updatedVersion="8" minRefreshableVersion="3" rowGrandTotals="0" colGrandTotals="0" itemPrintTitles="1" createdVersion="8" indent="0" outline="1" outlineData="1" multipleFieldFilters="0" chartFormat="108">
  <location ref="B3:C5" firstHeaderRow="1" firstDataRow="1" firstDataCol="1"/>
  <pivotFields count="33">
    <pivotField showAll="0"/>
    <pivotField showAll="0">
      <items count="4">
        <item m="1" x="1"/>
        <item m="1" x="2"/>
        <item x="0"/>
        <item t="default"/>
      </items>
    </pivotField>
    <pivotField showAll="0"/>
    <pivotField showAll="0"/>
    <pivotField showAll="0"/>
    <pivotField showAll="0"/>
    <pivotField showAll="0"/>
    <pivotField showAll="0"/>
    <pivotField showAll="0"/>
    <pivotField showAll="0"/>
    <pivotField showAll="0"/>
    <pivotField dataField="1"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axis="axisRow" showAll="0">
      <items count="15">
        <item h="1" sd="0" x="0"/>
        <item sd="0" x="1"/>
        <item h="1" sd="0" x="2"/>
        <item h="1" sd="0" x="3"/>
        <item h="1" sd="0" x="4"/>
        <item h="1" sd="0" x="5"/>
        <item h="1" sd="0" x="6"/>
        <item h="1" sd="0" x="7"/>
        <item h="1" sd="0" x="8"/>
        <item h="1" sd="0" x="9"/>
        <item h="1" sd="0" x="10"/>
        <item h="1" sd="0" x="11"/>
        <item h="1" sd="0" x="12"/>
        <item h="1" sd="0" x="13"/>
        <item t="default"/>
      </items>
    </pivotField>
    <pivotField showAll="0">
      <items count="7">
        <item sd="0" x="1"/>
        <item sd="0" x="2"/>
        <item sd="0" x="3"/>
        <item sd="0" x="4"/>
        <item x="0"/>
        <item x="5"/>
        <item t="default"/>
      </items>
    </pivotField>
    <pivotField axis="axisRow" showAll="0">
      <items count="4">
        <item x="0"/>
        <item x="1"/>
        <item x="2"/>
        <item t="default"/>
      </items>
    </pivotField>
  </pivotFields>
  <rowFields count="2">
    <field x="32"/>
    <field x="30"/>
  </rowFields>
  <rowItems count="2">
    <i>
      <x v="1"/>
    </i>
    <i r="1">
      <x v="1"/>
    </i>
  </rowItems>
  <colItems count="1">
    <i/>
  </colItems>
  <dataFields count="1">
    <dataField name="Sum of Impressions" fld="11" baseField="0" baseItem="0" numFmtId="164"/>
  </dataFields>
  <formats count="1">
    <format dxfId="33">
      <pivotArea outline="0" collapsedLevelsAreSubtotals="1" fieldPosition="0"/>
    </format>
  </formats>
  <chartFormats count="5">
    <chartFormat chart="3" format="2" series="1">
      <pivotArea type="data" outline="0" fieldPosition="0">
        <references count="1">
          <reference field="4294967294" count="1" selected="0">
            <x v="0"/>
          </reference>
        </references>
      </pivotArea>
    </chartFormat>
    <chartFormat chart="42" format="3" series="1">
      <pivotArea type="data" outline="0" fieldPosition="0">
        <references count="1">
          <reference field="4294967294" count="1" selected="0">
            <x v="0"/>
          </reference>
        </references>
      </pivotArea>
    </chartFormat>
    <chartFormat chart="43" format="4" series="1">
      <pivotArea type="data" outline="0" fieldPosition="0">
        <references count="1">
          <reference field="4294967294" count="1" selected="0">
            <x v="0"/>
          </reference>
        </references>
      </pivotArea>
    </chartFormat>
    <chartFormat chart="58" format="3" series="1">
      <pivotArea type="data" outline="0" fieldPosition="0">
        <references count="1">
          <reference field="4294967294" count="1" selected="0">
            <x v="0"/>
          </reference>
        </references>
      </pivotArea>
    </chartFormat>
    <chartFormat chart="59" format="4"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onths__Month7" xr10:uid="{6E4C2BDA-ECCA-428A-867E-9131AFB713B5}" sourceName="Months (Month)">
  <pivotTables>
    <pivotTable tabId="5" name="Pivot_Users Input"/>
  </pivotTables>
  <data>
    <tabular pivotCacheId="2131856399">
      <items count="14">
        <i x="1" s="1"/>
        <i x="2" s="1" nd="1"/>
        <i x="3" s="1" nd="1"/>
        <i x="4" s="1" nd="1"/>
        <i x="5" s="1" nd="1"/>
        <i x="6" s="1" nd="1"/>
        <i x="7" s="1" nd="1"/>
        <i x="8" s="1" nd="1"/>
        <i x="9" s="1" nd="1"/>
        <i x="10" s="1" nd="1"/>
        <i x="11" s="1" nd="1"/>
        <i x="12" s="1" nd="1"/>
        <i x="0" s="1" nd="1"/>
        <i x="13" s="1" nd="1"/>
      </items>
    </tabular>
  </data>
  <extLst>
    <x:ext xmlns:x15="http://schemas.microsoft.com/office/spreadsheetml/2010/11/main" uri="{470722E0-AACD-4C17-9CDC-17EF765DBC7E}">
      <x15:slicerCacheHideItemsWithNoData/>
    </x:ext>
  </extLst>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onths__Month1" xr10:uid="{7E17F7A5-63C0-41B4-A6E5-E485CB381B19}" sourceName="Months (Month)">
  <pivotTables>
    <pivotTable tabId="5" name="Pivot_Reach"/>
  </pivotTables>
  <data>
    <tabular pivotCacheId="1940011660">
      <items count="14">
        <i x="1" s="1"/>
        <i x="2" nd="1"/>
        <i x="3" nd="1"/>
        <i x="4" nd="1"/>
        <i x="5" nd="1"/>
        <i x="6" nd="1"/>
        <i x="7" nd="1"/>
        <i x="8" nd="1"/>
        <i x="9" nd="1"/>
        <i x="10" nd="1"/>
        <i x="11" nd="1"/>
        <i x="12" s="1" nd="1"/>
        <i x="0" nd="1"/>
        <i x="13" nd="1"/>
      </items>
    </tabular>
  </data>
  <extLst>
    <x:ext xmlns:x15="http://schemas.microsoft.com/office/spreadsheetml/2010/11/main" uri="{470722E0-AACD-4C17-9CDC-17EF765DBC7E}">
      <x15:slicerCacheHideItemsWithNoData/>
    </x:ext>
  </extLst>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onths__Month5" xr10:uid="{738139E8-8620-49C7-BAC7-EB5B475A1C82}" sourceName="Months (Month)">
  <pivotTables>
    <pivotTable tabId="5" name="Pivot_Eng"/>
  </pivotTables>
  <data>
    <tabular pivotCacheId="1940011660">
      <items count="14">
        <i x="1" s="1"/>
        <i x="2" s="1" nd="1"/>
        <i x="3" s="1" nd="1"/>
        <i x="4" s="1" nd="1"/>
        <i x="5" s="1" nd="1"/>
        <i x="6" s="1" nd="1"/>
        <i x="7" s="1" nd="1"/>
        <i x="8" s="1" nd="1"/>
        <i x="9" s="1" nd="1"/>
        <i x="10" s="1" nd="1"/>
        <i x="11" s="1" nd="1"/>
        <i x="12" s="1" nd="1"/>
        <i x="0" nd="1"/>
        <i x="13" nd="1"/>
      </items>
    </tabular>
  </data>
  <extLst>
    <x:ext xmlns:x15="http://schemas.microsoft.com/office/spreadsheetml/2010/11/main" uri="{470722E0-AACD-4C17-9CDC-17EF765DBC7E}">
      <x15:slicerCacheHideItemsWithNoData/>
    </x:ext>
  </extLst>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onths__Month6" xr10:uid="{D43CFF2F-306D-4B52-A79D-8241F8B12250}" sourceName="Months (Month)">
  <pivotTables>
    <pivotTable tabId="5" name="Pivot_VDOView"/>
  </pivotTables>
  <data>
    <tabular pivotCacheId="1940011660">
      <items count="14">
        <i x="1" s="1"/>
        <i x="2" s="1" nd="1"/>
        <i x="3" s="1" nd="1"/>
        <i x="4" s="1" nd="1"/>
        <i x="5" s="1" nd="1"/>
        <i x="6" s="1" nd="1"/>
        <i x="7" nd="1"/>
        <i x="8" s="1" nd="1"/>
        <i x="9" s="1" nd="1"/>
        <i x="10" s="1" nd="1"/>
        <i x="11" s="1" nd="1"/>
        <i x="12" s="1" nd="1"/>
        <i x="0" nd="1"/>
        <i x="13" nd="1"/>
      </items>
    </tabular>
  </data>
  <extLst>
    <x:ext xmlns:x15="http://schemas.microsoft.com/office/spreadsheetml/2010/11/main" uri="{470722E0-AACD-4C17-9CDC-17EF765DBC7E}">
      <x15:slicerCacheHideItemsWithNoData/>
    </x:ext>
  </extLst>
</slicerCacheDefinition>
</file>

<file path=xl/slicerCaches/slicerCache5.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onths__Month10" xr10:uid="{FD53069D-7675-46E6-9880-53159CDAEF4A}" sourceName="Months (Month)">
  <pivotTables>
    <pivotTable tabId="5" name="Pivot_FB Live"/>
  </pivotTables>
  <data>
    <tabular pivotCacheId="1940011660">
      <items count="14">
        <i x="1" s="1"/>
        <i x="2" nd="1"/>
        <i x="3" nd="1"/>
        <i x="4" nd="1"/>
        <i x="5" nd="1"/>
        <i x="6" s="1" nd="1"/>
        <i x="7" s="1" nd="1"/>
        <i x="8" s="1" nd="1"/>
        <i x="9" s="1" nd="1"/>
        <i x="10" s="1" nd="1"/>
        <i x="11" s="1" nd="1"/>
        <i x="12" s="1" nd="1"/>
        <i x="0" nd="1"/>
        <i x="13" nd="1"/>
      </items>
    </tabular>
  </data>
  <extLst>
    <x:ext xmlns:x15="http://schemas.microsoft.com/office/spreadsheetml/2010/11/main" uri="{470722E0-AACD-4C17-9CDC-17EF765DBC7E}">
      <x15:slicerCacheHideItemsWithNoData/>
    </x:ext>
  </extLst>
</slicerCacheDefinition>
</file>

<file path=xl/slicerCaches/slicerCache6.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onths__Month2" xr10:uid="{5B6ABA68-CE56-4ED8-B393-1472E04621E5}" sourceName="Months (Month)">
  <pivotTables>
    <pivotTable tabId="5" name="Pivot_EngVDO"/>
  </pivotTables>
  <data>
    <tabular pivotCacheId="1940011660">
      <items count="14">
        <i x="1" s="1"/>
        <i x="2" s="1" nd="1"/>
        <i x="3" s="1" nd="1"/>
        <i x="4" s="1" nd="1"/>
        <i x="5" s="1" nd="1"/>
        <i x="6" s="1" nd="1"/>
        <i x="7" s="1" nd="1"/>
        <i x="8" s="1" nd="1"/>
        <i x="9" s="1" nd="1"/>
        <i x="10" s="1" nd="1"/>
        <i x="11" s="1" nd="1"/>
        <i x="12" s="1" nd="1"/>
        <i x="0" nd="1"/>
        <i x="13" nd="1"/>
      </items>
    </tabular>
  </data>
  <extLst>
    <x:ext xmlns:x15="http://schemas.microsoft.com/office/spreadsheetml/2010/11/main" uri="{470722E0-AACD-4C17-9CDC-17EF765DBC7E}">
      <x15:slicerCacheHideItemsWithNoData/>
    </x:ext>
  </extLst>
</slicerCacheDefinition>
</file>

<file path=xl/slicerCaches/slicerCache7.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onths__Month4" xr10:uid="{27282029-2DED-4B0B-B524-079BAF31F83E}" sourceName="Months (Month)">
  <pivotTables>
    <pivotTable tabId="5" name="Pivot_Impression"/>
  </pivotTables>
  <data>
    <tabular pivotCacheId="1940011660">
      <items count="14">
        <i x="1" s="1"/>
        <i x="2" nd="1"/>
        <i x="3" nd="1"/>
        <i x="4" nd="1"/>
        <i x="5" nd="1"/>
        <i x="6" nd="1"/>
        <i x="7" nd="1"/>
        <i x="8" nd="1"/>
        <i x="9" nd="1"/>
        <i x="10" nd="1"/>
        <i x="11" nd="1"/>
        <i x="12" nd="1"/>
        <i x="0" nd="1"/>
        <i x="13" nd="1"/>
      </items>
    </tabular>
  </data>
  <extLst>
    <x:ext xmlns:x15="http://schemas.microsoft.com/office/spreadsheetml/2010/11/main" uri="{470722E0-AACD-4C17-9CDC-17EF765DBC7E}">
      <x15:slicerCacheHideItemsWithNoData/>
    </x:ext>
  </extLst>
</slicerCacheDefinition>
</file>

<file path=xl/slicerCaches/slicerCache8.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onths__Month3" xr10:uid="{81CB14DA-B8EF-45DE-A737-69DB10FD3593}" sourceName="Months (Month)">
  <pivotTables>
    <pivotTable tabId="5" name="Pivot_Page Visit"/>
  </pivotTables>
  <data>
    <tabular pivotCacheId="1940011660">
      <items count="14">
        <i x="1" s="1"/>
        <i x="2" s="1" nd="1"/>
        <i x="3" s="1" nd="1"/>
        <i x="4" s="1" nd="1"/>
        <i x="5" s="1" nd="1"/>
        <i x="6" s="1" nd="1"/>
        <i x="7" s="1" nd="1"/>
        <i x="8" s="1" nd="1"/>
        <i x="9" s="1" nd="1"/>
        <i x="10" s="1" nd="1"/>
        <i x="11" s="1" nd="1"/>
        <i x="12" s="1" nd="1"/>
        <i x="0" nd="1"/>
        <i x="13" nd="1"/>
      </items>
    </tabular>
  </data>
  <extLst>
    <x:ext xmlns:x15="http://schemas.microsoft.com/office/spreadsheetml/2010/11/main" uri="{470722E0-AACD-4C17-9CDC-17EF765DBC7E}">
      <x15:slicerCacheHideItemsWithNoData/>
    </x:ext>
  </extLst>
</slicerCacheDefinition>
</file>

<file path=xl/slicerCaches/slicerCache9.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onths__Month8" xr10:uid="{2FFC38E0-8121-4B81-9F51-FE8A1CA93635}" sourceName="Months (Month)">
  <pivotTables>
    <pivotTable tabId="5" name="Pivot_Follower"/>
  </pivotTables>
  <data>
    <tabular pivotCacheId="1940011660">
      <items count="14">
        <i x="1" s="1"/>
        <i x="2" s="1" nd="1"/>
        <i x="3" s="1" nd="1"/>
        <i x="4" s="1" nd="1"/>
        <i x="5" s="1" nd="1"/>
        <i x="6" s="1" nd="1"/>
        <i x="7" s="1" nd="1"/>
        <i x="8" s="1" nd="1"/>
        <i x="9" s="1" nd="1"/>
        <i x="10" s="1" nd="1"/>
        <i x="11" s="1" nd="1"/>
        <i x="12" s="1" nd="1"/>
        <i x="0" nd="1"/>
        <i x="13" nd="1"/>
      </items>
    </tabular>
  </data>
  <extLst>
    <x:ext xmlns:x15="http://schemas.microsoft.com/office/spreadsheetml/2010/11/main" uri="{470722E0-AACD-4C17-9CDC-17EF765DBC7E}">
      <x15:slicerCacheHideItemsWithNoData/>
    </x:ext>
  </extLst>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Slicer Users Input" xr10:uid="{18E251E4-B18D-4B71-AB9C-1F42A2E108F3}" cache="Slicer_Months__Month7" caption="Users Input" columnCount="6" style="SlicerStyleLight6" rowHeight="241300"/>
  <slicer name="Slicer Reach " xr10:uid="{97BA8424-D9BA-4990-B720-94D7FEDC51D0}" cache="Slicer_Months__Month1" caption="Reach " columnCount="6" style="SlicerStyleLight1 2" rowHeight="241300"/>
  <slicer name="Slicer Engagement" xr10:uid="{29F0390E-19FC-48A1-B64B-7EE50C8A7C91}" cache="Slicer_Months__Month5" caption="Engagement" columnCount="6" style="SlicerStyleDark6" rowHeight="241300"/>
  <slicer name="Slicer 3 Sec Video Views" xr10:uid="{53C09394-1BFC-4D47-B64C-7380F8BDE636}" cache="Slicer_Months__Month6" caption="3 Sec Video Views" columnCount="6" style="SlicerStyleLight Red" rowHeight="241300"/>
  <slicer name="Slicer Facebook Live Views" xr10:uid="{92445E51-1300-44B2-B619-62906E674254}" cache="Slicer_Months__Month10" caption="Facebook Live Views" columnCount="6" style="SlicerStyleLight Red" rowHeight="241300"/>
  <slicer name="Slicer ENG &amp; VDO" xr10:uid="{B428C023-30AB-4072-99F6-5EF31EB06CB6}" cache="Slicer_Months__Month2" caption="ENG &amp; VDO" columnCount="6" style="SlicerStyleLight6" rowHeight="241300"/>
  <slicer name="Slicer Impression" xr10:uid="{93345BCD-6231-496F-BD59-D2FDF04DC851}" cache="Slicer_Months__Month4" caption="Impression" columnCount="6" style="SlicerStyleLight6" rowHeight="241300"/>
  <slicer name="Slice Page Visit" xr10:uid="{47B52E67-5C3B-4ECA-AA69-F6DF009B8B7A}" cache="Slicer_Months__Month3" caption="Page Visit" columnCount="6" rowHeight="241300"/>
  <slicer name="Slicer Follower" xr10:uid="{3CD1CBFA-113A-4A0B-A10E-38D92A5E5621}" cache="Slicer_Months__Month8" caption="Follower" columnCount="6" style="SlicerStyleDark1" rowHeight="24130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5BE6A6B9-0BDB-4B39-9491-9ECD182D0D18}" name="tb_Overview_Data" displayName="tb_Overview_Data" ref="A1:AD15" totalsRowShown="0" dataDxfId="74">
  <autoFilter ref="A1:AD15" xr:uid="{5BE6A6B9-0BDB-4B39-9491-9ECD182D0D18}">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filterColumn colId="29" hiddenButton="1"/>
  </autoFilter>
  <sortState xmlns:xlrd2="http://schemas.microsoft.com/office/spreadsheetml/2017/richdata2" ref="A11:AD15">
    <sortCondition descending="1" ref="Q1:Q15"/>
  </sortState>
  <tableColumns count="30">
    <tableColumn id="1" xr3:uid="{AA7E552E-11BF-4192-AF15-3E86BBF65606}" name="Content Details" dataDxfId="73"/>
    <tableColumn id="2" xr3:uid="{2032F4F6-3147-4FF4-A508-9788AD94235D}" name="Month" dataDxfId="72"/>
    <tableColumn id="3" xr3:uid="{3B69BB75-CD9D-48F6-93BB-36AEF2339D42}" name="Post Date" dataDxfId="71"/>
    <tableColumn id="4" xr3:uid="{D1F2D30C-4670-4EF5-B9AE-D10BC6236D24}" name="Content Objective" dataDxfId="70"/>
    <tableColumn id="5" xr3:uid="{91B6AB80-629D-4EC7-8F66-9B76BF42434A}" name="Content Style " dataDxfId="69"/>
    <tableColumn id="6" xr3:uid="{512ED66E-5384-4148-A2D2-456C00248A9A}" name="Related Product" dataDxfId="68"/>
    <tableColumn id="7" xr3:uid="{0F6407F7-CF79-40A8-93D5-3EEC734271F6}" name="Media Format" dataDxfId="67"/>
    <tableColumn id="8" xr3:uid="{FF6EC068-2D7E-457C-B927-87F31DF6801D}" name="Campaign Base" dataDxfId="66"/>
    <tableColumn id="9" xr3:uid="{68E08D4B-98A1-4A0B-BDD1-B6EF6F75E39E}" name="Campaign Name" dataDxfId="65"/>
    <tableColumn id="10" xr3:uid="{B01BD43C-152B-420F-84D3-617E6B215C71}" name="Post Link "/>
    <tableColumn id="11" xr3:uid="{3E1EEBAB-6C4C-4A66-85BE-BE89864F6A1E}" name="Content_x000a_Performance" dataDxfId="64"/>
    <tableColumn id="12" xr3:uid="{0BD89EBE-05AE-44A7-BC55-02C68565C507}" name="Impressions" dataDxfId="63"/>
    <tableColumn id="13" xr3:uid="{C728642B-516C-4084-9F1E-D58540C96D36}" name="Impressions (KPI)" dataDxfId="62"/>
    <tableColumn id="14" xr3:uid="{392A9371-53D3-4C53-A73C-DD15A5EFCC99}" name="Reach " dataDxfId="61"/>
    <tableColumn id="15" xr3:uid="{439E99C8-947C-4DCB-B705-6B5A9FC67236}" name="Post Reach" dataDxfId="60"/>
    <tableColumn id="16" xr3:uid="{8D23121B-4479-4DB7-BC91-A4CE1524286F}" name="Reach _x000a_(KPI)" dataDxfId="59"/>
    <tableColumn id="17" xr3:uid="{D9943093-B6D5-4D22-AE2D-10B71EEF2838}" name="Engagement" dataDxfId="58"/>
    <tableColumn id="18" xr3:uid="{EF98F250-834B-4DA2-AC60-EF6787E78AB5}" name="Engagement (KPI)" dataDxfId="57"/>
    <tableColumn id="30" xr3:uid="{01F1A82C-E9E9-4262-B025-E41A934C0056}" name="FB Live 3Sec" dataDxfId="56"/>
    <tableColumn id="19" xr3:uid="{E50B5ECA-8A03-4D73-9703-70B5A3A7F1D0}" name="3 Sec Video Views" dataDxfId="55"/>
    <tableColumn id="20" xr3:uid="{2DA9E864-A132-46AC-9C9E-F51156ACF4D0}" name="3 sec Video Views (KPI)" dataDxfId="54"/>
    <tableColumn id="21" xr3:uid="{614B80D8-26F6-4B04-A3EF-66D2A6694C7C}" name=" 15 Sec Video Views " dataDxfId="53"/>
    <tableColumn id="22" xr3:uid="{973FAA3B-859B-4651-AC8A-3BF6330B6424}" name=" 15 Sec Vodeo Views (KPI)" dataDxfId="52"/>
    <tableColumn id="23" xr3:uid="{5EDCA054-8292-4056-A317-897FEA605703}" name="Reels" dataDxfId="51"/>
    <tableColumn id="24" xr3:uid="{657DC222-A985-4C6D-A77B-B17339E4AE51}" name="Reels (KPI)" dataDxfId="50"/>
    <tableColumn id="25" xr3:uid="{70805652-A16D-405A-AEED-00B2457FE033}" name="Link Click" dataDxfId="49"/>
    <tableColumn id="26" xr3:uid="{6267E368-F4CC-4A85-949C-252CCAC9B0A3}" name="Link Click (KPI)" dataDxfId="48"/>
    <tableColumn id="27" xr3:uid="{A30F5C1E-FEEB-45C5-BC9E-2A859E12BD6D}" name="Follower" dataDxfId="47"/>
    <tableColumn id="28" xr3:uid="{C57FE40E-8BB0-43D8-A7B3-FA22D6A5CB6C}" name="Page Visit" dataDxfId="46"/>
    <tableColumn id="29" xr3:uid="{45DDBF55-605F-4934-BAC9-CC466B1FDAFF}" name="Additional Note" dataDxfId="45"/>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D5485A08-87AF-4492-97F8-6947038C49B0}" name="tb_Users_Input_Data" displayName="tb_Users_Input_Data" ref="A1:C7" totalsRowShown="0" tableBorderDxfId="44">
  <autoFilter ref="A1:C7" xr:uid="{D5485A08-87AF-4492-97F8-6947038C49B0}"/>
  <tableColumns count="3">
    <tableColumn id="1" xr3:uid="{1F52F521-B8F7-426A-B582-CCB6599F8E8D}" name="Month" dataDxfId="43"/>
    <tableColumn id="2" xr3:uid="{BD4AE896-264E-469F-8323-7C50845D096B}" name="Category" dataDxfId="42"/>
    <tableColumn id="3" xr3:uid="{670C3728-8BCA-40BC-BB90-15BC3168F039}" name="Amount_Users_Input" dataDxfId="41"/>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F9A661F8-F838-4F0B-9092-602CF92446F6}" name="tb_Competitors_Data" displayName="tb_Competitors_Data" ref="A1:D15" totalsRowShown="0" dataDxfId="40" tableBorderDxfId="39">
  <autoFilter ref="A1:D15" xr:uid="{F9A661F8-F838-4F0B-9092-602CF92446F6}"/>
  <tableColumns count="4">
    <tableColumn id="1" xr3:uid="{A4A2FD08-270B-4448-B7E3-08CE285847CC}" name="Month" dataDxfId="38"/>
    <tableColumn id="2" xr3:uid="{B6D149DE-F8B5-4EA3-9336-077EE56B6ADA}" name="Competitors_ID" dataDxfId="37"/>
    <tableColumn id="3" xr3:uid="{904BA5E8-3E07-4C72-B5D1-6324F7430C7E}" name="Monthly_Followers" dataDxfId="36"/>
    <tableColumn id="4" xr3:uid="{EA812FE4-3408-4A9A-8A30-AD70ACFD51DE}" name="Monthly_Posts" dataDxfId="35"/>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A3ED9FE5-A262-4AFF-AA43-99B0C551E4E2}" name="Table1" displayName="Table1" ref="A3:D4" totalsRowShown="0">
  <autoFilter ref="A3:D4" xr:uid="{A3ED9FE5-A262-4AFF-AA43-99B0C551E4E2}"/>
  <sortState xmlns:xlrd2="http://schemas.microsoft.com/office/spreadsheetml/2017/richdata2" ref="A4:D4">
    <sortCondition ref="C3:C4"/>
  </sortState>
  <tableColumns count="4">
    <tableColumn id="1" xr3:uid="{9880D9E8-1BFC-4BE7-B4A5-E858C43DBFC7}" name="Month" dataDxfId="34"/>
    <tableColumn id="2" xr3:uid="{3F4BE9A5-CE86-441B-9299-7B21978AE25D}" name="Competitors_ID"/>
    <tableColumn id="3" xr3:uid="{4209201F-F0FB-456A-9A6C-1B1264DF51FD}" name="Monthly_Followers"/>
    <tableColumn id="4" xr3:uid="{D9D49F22-C140-4ADB-ABA1-374F16D63BAF}" name="Monthly_Posts"/>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F835C465-CDC2-4029-B141-51D2C7CDAC44}" name="Table2" displayName="Table2" ref="B59:F63" totalsRowShown="0" headerRowDxfId="23" dataDxfId="21" headerRowBorderDxfId="22">
  <tableColumns count="5">
    <tableColumn id="1" xr3:uid="{0A3915E9-3665-4675-9587-3E3ED08CAE63}" name="RANK" dataDxfId="20"/>
    <tableColumn id="2" xr3:uid="{4C104B1B-E66B-436E-9F75-8D94C2184C13}" name="LOGO" dataDxfId="19"/>
    <tableColumn id="3" xr3:uid="{4773A081-80F2-43A5-ABFC-FFA65A5D9C4E}" name="BRAND" dataDxfId="18"/>
    <tableColumn id="4" xr3:uid="{7FCA46D2-7045-4B56-A120-C8CDBA5EAC3F}" name="PAGE FOLLOWER" dataDxfId="17"/>
    <tableColumn id="5" xr3:uid="{0F7A8BB9-F07D-439B-B94B-0CEE9E41D782}" name="MONTHLY POSTS" dataDxfId="16">
      <calculatedColumnFormula>GETPIVOTDATA("Monthly_Posts",Pivot!$L$19,"Competitors_ID","Sponsor ສະປອນເຊີ","Months (Month)",3,"Years (Month)",2024)</calculatedColumnFormula>
    </tableColumn>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65841828-0654-48FD-B66E-6C4E592C511D}" name="Table24" displayName="Table24" ref="B66:F70" totalsRowShown="0" headerRowDxfId="15" dataDxfId="13" headerRowBorderDxfId="14">
  <tableColumns count="5">
    <tableColumn id="1" xr3:uid="{A0C3B603-C1A5-4748-AA0B-A06CF5294C18}" name="RANK" dataDxfId="12"/>
    <tableColumn id="2" xr3:uid="{78BE7E5C-EE20-44EA-9475-6BEC540D12C8}" name="LOGO" dataDxfId="11"/>
    <tableColumn id="3" xr3:uid="{24ECC7FB-AA85-41B4-A773-87D06F3B40D9}" name="BRAND" dataDxfId="10"/>
    <tableColumn id="4" xr3:uid="{0416DC6E-EB71-4930-8BF2-F0F1A3608377}" name="PAGE FOLLOWER" dataDxfId="9"/>
    <tableColumn id="5" xr3:uid="{C06FBD21-2E2E-4B5C-ABF8-CC8F564CF0D8}" name="QUARTERLY POSTS" dataDxfId="8">
      <calculatedColumnFormula>V51</calculatedColumnFormula>
    </tableColumn>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5797B4BB-4465-4729-84E4-2539358FBCB4}" name="Table245" displayName="Table245" ref="B76:F80" totalsRowShown="0" headerRowDxfId="7" dataDxfId="5" headerRowBorderDxfId="6">
  <tableColumns count="5">
    <tableColumn id="1" xr3:uid="{E4C33704-E68D-4B87-87F8-83492EB7EFF2}" name="RANK" dataDxfId="4"/>
    <tableColumn id="2" xr3:uid="{2D564A4E-EE0B-4708-A752-D1C05158C605}" name="LOGO" dataDxfId="3"/>
    <tableColumn id="3" xr3:uid="{86BEF08B-4849-4A90-9721-DA9AA0DF72D3}" name="BRAND" dataDxfId="2"/>
    <tableColumn id="4" xr3:uid="{F0CE30CF-4546-44C4-B031-D628B1AF1482}" name="PAGE FOLLOWER" dataDxfId="1"/>
    <tableColumn id="5" xr3:uid="{785B3080-7E31-4685-A0E0-683E5CF465B2}" name="Quarterly POSTS" dataDxfId="0"/>
  </tableColumns>
  <tableStyleInfo name="TableStyleMedium2" showFirstColumn="0" showLastColumn="0" showRowStripes="1" showColumnStripes="0"/>
</table>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2.xml.rels><?xml version="1.0" encoding="UTF-8" standalone="yes"?>
<Relationships xmlns="http://schemas.openxmlformats.org/package/2006/relationships"><Relationship Id="rId3" Type="http://schemas.openxmlformats.org/officeDocument/2006/relationships/hyperlink" Target="https://www.facebook.com/SponsorLaosOfficial/posts/pfbid02Y1D4hMZbAnHty6V5gnt9E6w3HB7nSY2TA6WLVY7XSP39dTrVQamqX3UzXK2WcNzPl" TargetMode="External"/><Relationship Id="rId7" Type="http://schemas.openxmlformats.org/officeDocument/2006/relationships/comments" Target="../comments1.xml"/><Relationship Id="rId2" Type="http://schemas.openxmlformats.org/officeDocument/2006/relationships/hyperlink" Target="https://www.facebook.com/SponsorLaosOfficial/posts/pfbid0nKRdgVbZuY4vaDrnZbSHWHVvFK7EBY9QcAjjS1PU3aEUXCe1ZsuLyHFwHne6s49hl" TargetMode="External"/><Relationship Id="rId1" Type="http://schemas.openxmlformats.org/officeDocument/2006/relationships/hyperlink" Target="https://www.facebook.com/reel/1447062616976115/" TargetMode="External"/><Relationship Id="rId6" Type="http://schemas.openxmlformats.org/officeDocument/2006/relationships/table" Target="../tables/table1.xml"/><Relationship Id="rId5" Type="http://schemas.openxmlformats.org/officeDocument/2006/relationships/vmlDrawing" Target="../drawings/vmlDrawing1.vml"/><Relationship Id="rId4"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drawing" Target="../drawings/drawing1.xml"/></Relationships>
</file>

<file path=xl/worksheets/_rels/sheet5.xml.rels><?xml version="1.0" encoding="UTF-8" standalone="yes"?>
<Relationships xmlns="http://schemas.openxmlformats.org/package/2006/relationships"><Relationship Id="rId1" Type="http://schemas.openxmlformats.org/officeDocument/2006/relationships/table" Target="../tables/table3.xml"/></Relationships>
</file>

<file path=xl/worksheets/_rels/sheet6.xml.rels><?xml version="1.0" encoding="UTF-8" standalone="yes"?>
<Relationships xmlns="http://schemas.openxmlformats.org/package/2006/relationships"><Relationship Id="rId1" Type="http://schemas.openxmlformats.org/officeDocument/2006/relationships/table" Target="../tables/table4.xml"/></Relationships>
</file>

<file path=xl/worksheets/_rels/sheet7.xml.rels><?xml version="1.0" encoding="UTF-8" standalone="yes"?>
<Relationships xmlns="http://schemas.openxmlformats.org/package/2006/relationships"><Relationship Id="rId8" Type="http://schemas.openxmlformats.org/officeDocument/2006/relationships/pivotTable" Target="../pivotTables/pivotTable8.xml"/><Relationship Id="rId13" Type="http://schemas.openxmlformats.org/officeDocument/2006/relationships/drawing" Target="../drawings/drawing2.xml"/><Relationship Id="rId3" Type="http://schemas.openxmlformats.org/officeDocument/2006/relationships/pivotTable" Target="../pivotTables/pivotTable3.xml"/><Relationship Id="rId7" Type="http://schemas.openxmlformats.org/officeDocument/2006/relationships/pivotTable" Target="../pivotTables/pivotTable7.xml"/><Relationship Id="rId12" Type="http://schemas.openxmlformats.org/officeDocument/2006/relationships/printerSettings" Target="../printerSettings/printerSettings3.bin"/><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pivotTable" Target="../pivotTables/pivotTable6.xml"/><Relationship Id="rId11" Type="http://schemas.openxmlformats.org/officeDocument/2006/relationships/pivotTable" Target="../pivotTables/pivotTable11.xml"/><Relationship Id="rId5" Type="http://schemas.openxmlformats.org/officeDocument/2006/relationships/pivotTable" Target="../pivotTables/pivotTable5.xml"/><Relationship Id="rId10" Type="http://schemas.openxmlformats.org/officeDocument/2006/relationships/pivotTable" Target="../pivotTables/pivotTable10.xml"/><Relationship Id="rId4" Type="http://schemas.openxmlformats.org/officeDocument/2006/relationships/pivotTable" Target="../pivotTables/pivotTable4.xml"/><Relationship Id="rId9" Type="http://schemas.openxmlformats.org/officeDocument/2006/relationships/pivotTable" Target="../pivotTables/pivotTable9.xml"/></Relationships>
</file>

<file path=xl/worksheets/_rels/sheet8.xml.rels><?xml version="1.0" encoding="UTF-8" standalone="yes"?>
<Relationships xmlns="http://schemas.openxmlformats.org/package/2006/relationships"><Relationship Id="rId3" Type="http://schemas.openxmlformats.org/officeDocument/2006/relationships/table" Target="../tables/table5.xml"/><Relationship Id="rId2" Type="http://schemas.openxmlformats.org/officeDocument/2006/relationships/drawing" Target="../drawings/drawing3.xml"/><Relationship Id="rId1" Type="http://schemas.openxmlformats.org/officeDocument/2006/relationships/printerSettings" Target="../printerSettings/printerSettings4.bin"/><Relationship Id="rId6" Type="http://schemas.microsoft.com/office/2007/relationships/slicer" Target="../slicers/slicer1.xml"/><Relationship Id="rId5" Type="http://schemas.openxmlformats.org/officeDocument/2006/relationships/table" Target="../tables/table7.xml"/><Relationship Id="rId4" Type="http://schemas.openxmlformats.org/officeDocument/2006/relationships/table" Target="../tables/table6.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6D3075B-F1EC-469F-872F-7AB468B54C21}">
  <sheetPr codeName="Sheet5"/>
  <dimension ref="B3:F17"/>
  <sheetViews>
    <sheetView workbookViewId="0">
      <selection activeCell="C33" sqref="C33"/>
    </sheetView>
  </sheetViews>
  <sheetFormatPr defaultRowHeight="15" x14ac:dyDescent="0.25"/>
  <cols>
    <col min="2" max="3" width="19.140625" customWidth="1"/>
    <col min="4" max="4" width="25.42578125" customWidth="1"/>
    <col min="5" max="6" width="19.140625" customWidth="1"/>
  </cols>
  <sheetData>
    <row r="3" spans="2:6" x14ac:dyDescent="0.25">
      <c r="B3" s="1" t="s">
        <v>0</v>
      </c>
      <c r="C3" s="1" t="s">
        <v>1</v>
      </c>
      <c r="D3" s="1" t="s">
        <v>2</v>
      </c>
      <c r="E3" s="1" t="s">
        <v>3</v>
      </c>
      <c r="F3" s="1" t="s">
        <v>4</v>
      </c>
    </row>
    <row r="4" spans="2:6" x14ac:dyDescent="0.25">
      <c r="B4" t="s">
        <v>5</v>
      </c>
      <c r="C4" t="s">
        <v>6</v>
      </c>
      <c r="D4" t="s">
        <v>7</v>
      </c>
      <c r="E4" s="18" t="s">
        <v>8</v>
      </c>
      <c r="F4" s="18" t="s">
        <v>9</v>
      </c>
    </row>
    <row r="5" spans="2:6" x14ac:dyDescent="0.25">
      <c r="B5" s="10" t="s">
        <v>10</v>
      </c>
      <c r="C5" t="s">
        <v>11</v>
      </c>
      <c r="D5" t="s">
        <v>12</v>
      </c>
      <c r="E5" s="18" t="s">
        <v>13</v>
      </c>
      <c r="F5" s="18" t="s">
        <v>14</v>
      </c>
    </row>
    <row r="6" spans="2:6" x14ac:dyDescent="0.25">
      <c r="B6" s="10" t="s">
        <v>15</v>
      </c>
      <c r="C6" t="s">
        <v>16</v>
      </c>
      <c r="D6" t="s">
        <v>17</v>
      </c>
      <c r="E6" s="18" t="s">
        <v>18</v>
      </c>
      <c r="F6" s="18"/>
    </row>
    <row r="7" spans="2:6" x14ac:dyDescent="0.25">
      <c r="B7" s="10"/>
      <c r="C7" t="s">
        <v>19</v>
      </c>
      <c r="E7" s="18" t="s">
        <v>20</v>
      </c>
      <c r="F7" s="18"/>
    </row>
    <row r="8" spans="2:6" x14ac:dyDescent="0.25">
      <c r="B8" s="10"/>
      <c r="C8" t="s">
        <v>21</v>
      </c>
      <c r="E8" s="18" t="s">
        <v>22</v>
      </c>
    </row>
    <row r="9" spans="2:6" x14ac:dyDescent="0.25">
      <c r="C9" t="s">
        <v>23</v>
      </c>
      <c r="E9" s="18" t="s">
        <v>24</v>
      </c>
    </row>
    <row r="10" spans="2:6" x14ac:dyDescent="0.25">
      <c r="C10" t="s">
        <v>25</v>
      </c>
    </row>
    <row r="11" spans="2:6" x14ac:dyDescent="0.25">
      <c r="C11" t="s">
        <v>26</v>
      </c>
    </row>
    <row r="12" spans="2:6" x14ac:dyDescent="0.25">
      <c r="C12" t="s">
        <v>27</v>
      </c>
    </row>
    <row r="13" spans="2:6" x14ac:dyDescent="0.25">
      <c r="C13" t="s">
        <v>28</v>
      </c>
    </row>
    <row r="14" spans="2:6" x14ac:dyDescent="0.25">
      <c r="C14" t="s">
        <v>29</v>
      </c>
    </row>
    <row r="15" spans="2:6" x14ac:dyDescent="0.25">
      <c r="C15" t="s">
        <v>30</v>
      </c>
    </row>
    <row r="16" spans="2:6" x14ac:dyDescent="0.25">
      <c r="C16" t="s">
        <v>31</v>
      </c>
    </row>
    <row r="17" spans="3:3" x14ac:dyDescent="0.25">
      <c r="C17" t="s">
        <v>32</v>
      </c>
    </row>
  </sheetData>
  <dataValidations count="1">
    <dataValidation type="list" allowBlank="1" showInputMessage="1" showErrorMessage="1" sqref="F14" xr:uid="{A5D37798-AC9C-4447-974F-A1075B5538C1}">
      <formula1>$B$5:$B$7</formula1>
    </dataValidation>
  </dataValidations>
  <pageMargins left="0.7" right="0.7" top="0.75" bottom="0.75"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DDF673B-4F44-4085-A599-26F7D040C48E}">
  <sheetPr codeName="Sheet1"/>
  <dimension ref="A1:AG15"/>
  <sheetViews>
    <sheetView zoomScale="91" zoomScaleNormal="91" workbookViewId="0">
      <pane xSplit="3" ySplit="1" topLeftCell="D2" activePane="bottomRight" state="frozen"/>
      <selection pane="topRight" activeCell="D1" sqref="D1"/>
      <selection pane="bottomLeft" activeCell="A2" sqref="A2"/>
      <selection pane="bottomRight" activeCell="C16" sqref="C16"/>
    </sheetView>
  </sheetViews>
  <sheetFormatPr defaultColWidth="9.140625" defaultRowHeight="15" x14ac:dyDescent="0.25"/>
  <cols>
    <col min="1" max="1" width="16" style="42" customWidth="1"/>
    <col min="2" max="2" width="9.140625" style="15" customWidth="1"/>
    <col min="3" max="3" width="20.5703125" style="7" customWidth="1"/>
    <col min="4" max="4" width="19" style="7" customWidth="1"/>
    <col min="5" max="5" width="17" style="7" customWidth="1"/>
    <col min="6" max="6" width="17.28515625" style="7" customWidth="1"/>
    <col min="7" max="7" width="16" style="7" customWidth="1"/>
    <col min="8" max="8" width="17" style="7" customWidth="1"/>
    <col min="9" max="9" width="18" style="7" customWidth="1"/>
    <col min="10" max="10" width="12.42578125" style="7" customWidth="1"/>
    <col min="11" max="11" width="12.42578125" style="42" customWidth="1"/>
    <col min="12" max="12" width="14.140625" style="7" customWidth="1"/>
    <col min="13" max="13" width="18.7109375" style="7" customWidth="1"/>
    <col min="14" max="14" width="12.5703125" style="43" customWidth="1"/>
    <col min="15" max="15" width="14.28515625" style="7" bestFit="1" customWidth="1"/>
    <col min="16" max="16" width="11.5703125" style="7" bestFit="1" customWidth="1"/>
    <col min="17" max="17" width="14.5703125" style="7" customWidth="1"/>
    <col min="18" max="19" width="19.140625" style="7" customWidth="1"/>
    <col min="20" max="20" width="19.28515625" style="43" customWidth="1"/>
    <col min="21" max="21" width="23.7109375" style="7" customWidth="1"/>
    <col min="22" max="22" width="21.28515625" style="43" customWidth="1"/>
    <col min="23" max="23" width="25.85546875" style="7" customWidth="1"/>
    <col min="24" max="24" width="9.140625" style="7"/>
    <col min="25" max="25" width="13.28515625" style="7" customWidth="1"/>
    <col min="26" max="26" width="12" style="7" customWidth="1"/>
    <col min="27" max="27" width="16.42578125" style="7" customWidth="1"/>
    <col min="28" max="28" width="14.5703125" style="7" bestFit="1" customWidth="1"/>
    <col min="29" max="29" width="12.42578125" style="43" customWidth="1"/>
    <col min="30" max="30" width="17.140625" style="7" customWidth="1"/>
    <col min="31" max="33" width="8.85546875" style="7" customWidth="1"/>
    <col min="34" max="16384" width="9.140625" style="7"/>
  </cols>
  <sheetData>
    <row r="1" spans="1:33" ht="30" x14ac:dyDescent="0.25">
      <c r="A1" s="12" t="s">
        <v>33</v>
      </c>
      <c r="B1" s="5" t="s">
        <v>34</v>
      </c>
      <c r="C1" s="1" t="s">
        <v>35</v>
      </c>
      <c r="D1" s="1" t="s">
        <v>0</v>
      </c>
      <c r="E1" s="1" t="s">
        <v>1</v>
      </c>
      <c r="F1" s="1" t="s">
        <v>2</v>
      </c>
      <c r="G1" s="1" t="s">
        <v>3</v>
      </c>
      <c r="H1" s="1" t="s">
        <v>4</v>
      </c>
      <c r="I1" s="1" t="s">
        <v>36</v>
      </c>
      <c r="J1" s="63" t="s">
        <v>37</v>
      </c>
      <c r="K1" s="13" t="s">
        <v>38</v>
      </c>
      <c r="L1" s="30" t="s">
        <v>39</v>
      </c>
      <c r="M1" s="31" t="s">
        <v>40</v>
      </c>
      <c r="N1" s="32" t="s">
        <v>41</v>
      </c>
      <c r="O1" s="33" t="s">
        <v>42</v>
      </c>
      <c r="P1" s="31" t="s">
        <v>43</v>
      </c>
      <c r="Q1" s="2" t="s">
        <v>44</v>
      </c>
      <c r="R1" s="31" t="s">
        <v>45</v>
      </c>
      <c r="S1" s="77" t="s">
        <v>46</v>
      </c>
      <c r="T1" s="3" t="s">
        <v>47</v>
      </c>
      <c r="U1" s="31" t="s">
        <v>48</v>
      </c>
      <c r="V1" s="3" t="s">
        <v>49</v>
      </c>
      <c r="W1" s="31" t="s">
        <v>50</v>
      </c>
      <c r="X1" s="3" t="s">
        <v>24</v>
      </c>
      <c r="Y1" s="31" t="s">
        <v>51</v>
      </c>
      <c r="Z1" s="2" t="s">
        <v>52</v>
      </c>
      <c r="AA1" s="3" t="s">
        <v>53</v>
      </c>
      <c r="AB1" s="31" t="s">
        <v>54</v>
      </c>
      <c r="AC1" s="31" t="s">
        <v>55</v>
      </c>
      <c r="AD1" s="4" t="s">
        <v>56</v>
      </c>
    </row>
    <row r="2" spans="1:33" x14ac:dyDescent="0.25">
      <c r="B2" s="15">
        <v>46023</v>
      </c>
      <c r="C2" s="103">
        <v>46034.791666666664</v>
      </c>
      <c r="D2" s="7" t="s">
        <v>5</v>
      </c>
      <c r="E2" s="7" t="s">
        <v>16</v>
      </c>
      <c r="F2" s="7" t="s">
        <v>17</v>
      </c>
      <c r="G2" t="s">
        <v>117</v>
      </c>
      <c r="H2" s="7" t="s">
        <v>14</v>
      </c>
      <c r="J2" s="113" t="s">
        <v>134</v>
      </c>
      <c r="L2">
        <v>478486</v>
      </c>
      <c r="M2" s="69"/>
      <c r="N2" s="69"/>
      <c r="O2">
        <v>400173</v>
      </c>
      <c r="P2" s="69"/>
      <c r="Q2" s="70">
        <v>1403</v>
      </c>
      <c r="R2" s="69"/>
      <c r="S2" s="69"/>
      <c r="T2" s="68"/>
      <c r="U2" s="69"/>
      <c r="V2" s="69"/>
      <c r="W2" s="69"/>
      <c r="X2" s="69"/>
      <c r="Y2" s="69"/>
      <c r="Z2" s="69"/>
      <c r="AA2" s="69"/>
      <c r="AB2" s="69"/>
      <c r="AC2" s="69"/>
      <c r="AD2" s="98"/>
    </row>
    <row r="3" spans="1:33" x14ac:dyDescent="0.25">
      <c r="B3" s="15">
        <v>46023</v>
      </c>
      <c r="C3" s="103">
        <v>46034.791666666664</v>
      </c>
      <c r="D3" s="7" t="s">
        <v>5</v>
      </c>
      <c r="E3" s="7" t="s">
        <v>16</v>
      </c>
      <c r="F3" s="7" t="s">
        <v>17</v>
      </c>
      <c r="G3" t="s">
        <v>117</v>
      </c>
      <c r="H3" s="7" t="s">
        <v>9</v>
      </c>
      <c r="J3" s="113" t="s">
        <v>120</v>
      </c>
      <c r="L3">
        <v>578697</v>
      </c>
      <c r="M3" s="69"/>
      <c r="N3" s="69"/>
      <c r="O3">
        <v>411096</v>
      </c>
      <c r="P3" s="69"/>
      <c r="Q3" s="70">
        <v>10879</v>
      </c>
      <c r="R3" s="69"/>
      <c r="S3" s="69"/>
      <c r="T3" s="68"/>
      <c r="U3" s="69"/>
      <c r="V3" s="69"/>
      <c r="W3" s="69"/>
      <c r="X3" s="69"/>
      <c r="Y3" s="69"/>
      <c r="Z3" s="69"/>
      <c r="AA3" s="69"/>
      <c r="AB3" s="69"/>
      <c r="AC3" s="69"/>
      <c r="AD3" s="98"/>
    </row>
    <row r="4" spans="1:33" x14ac:dyDescent="0.25">
      <c r="B4" s="15">
        <v>46023</v>
      </c>
      <c r="C4" s="103">
        <v>46035.854166666664</v>
      </c>
      <c r="D4" s="7" t="s">
        <v>5</v>
      </c>
      <c r="E4" s="7" t="s">
        <v>26</v>
      </c>
      <c r="F4" s="7" t="s">
        <v>17</v>
      </c>
      <c r="G4" t="s">
        <v>117</v>
      </c>
      <c r="H4" s="7" t="s">
        <v>9</v>
      </c>
      <c r="J4" t="s">
        <v>121</v>
      </c>
      <c r="L4">
        <v>490681</v>
      </c>
      <c r="M4" s="69"/>
      <c r="N4" s="69"/>
      <c r="O4">
        <v>352435</v>
      </c>
      <c r="P4" s="69"/>
      <c r="Q4" s="70">
        <v>3479</v>
      </c>
      <c r="R4" s="69"/>
      <c r="S4" s="69"/>
      <c r="T4" s="69"/>
      <c r="U4" s="69"/>
      <c r="V4" s="69"/>
      <c r="W4" s="69"/>
      <c r="X4" s="69"/>
      <c r="Y4" s="69"/>
      <c r="Z4" s="69"/>
      <c r="AA4" s="69"/>
      <c r="AB4" s="69"/>
      <c r="AC4" s="69"/>
      <c r="AD4" s="98"/>
    </row>
    <row r="5" spans="1:33" x14ac:dyDescent="0.25">
      <c r="B5" s="15">
        <v>46023</v>
      </c>
      <c r="C5" s="103">
        <v>46038.019444444442</v>
      </c>
      <c r="D5" s="7" t="s">
        <v>5</v>
      </c>
      <c r="E5" s="7" t="s">
        <v>26</v>
      </c>
      <c r="F5" s="7" t="s">
        <v>17</v>
      </c>
      <c r="G5" t="s">
        <v>118</v>
      </c>
      <c r="H5" s="7" t="s">
        <v>9</v>
      </c>
      <c r="J5" s="113" t="s">
        <v>122</v>
      </c>
      <c r="L5">
        <v>436878</v>
      </c>
      <c r="M5" s="69"/>
      <c r="N5" s="69"/>
      <c r="O5">
        <v>153196</v>
      </c>
      <c r="P5" s="69"/>
      <c r="Q5" s="70">
        <v>1122</v>
      </c>
      <c r="R5" s="69"/>
      <c r="S5" s="69"/>
      <c r="T5" s="68">
        <v>136221</v>
      </c>
      <c r="U5" s="69"/>
      <c r="V5" s="69"/>
      <c r="W5" s="69"/>
      <c r="X5" s="69"/>
      <c r="Y5" s="69"/>
      <c r="Z5" s="69"/>
      <c r="AA5" s="69"/>
      <c r="AB5" s="69"/>
      <c r="AC5" s="69"/>
      <c r="AD5" s="98"/>
    </row>
    <row r="6" spans="1:33" x14ac:dyDescent="0.25">
      <c r="B6" s="15">
        <v>46023</v>
      </c>
      <c r="C6" s="103">
        <v>46041.940972222219</v>
      </c>
      <c r="D6" s="7" t="s">
        <v>5</v>
      </c>
      <c r="E6" s="7" t="s">
        <v>26</v>
      </c>
      <c r="F6" s="7" t="s">
        <v>17</v>
      </c>
      <c r="G6" t="s">
        <v>117</v>
      </c>
      <c r="H6" s="7" t="s">
        <v>9</v>
      </c>
      <c r="J6" t="s">
        <v>123</v>
      </c>
      <c r="L6">
        <v>598250</v>
      </c>
      <c r="M6" s="69"/>
      <c r="N6" s="69"/>
      <c r="O6">
        <v>397829</v>
      </c>
      <c r="P6" s="69"/>
      <c r="Q6" s="70">
        <v>4878</v>
      </c>
      <c r="R6" s="69"/>
      <c r="S6" s="69"/>
      <c r="T6" s="69"/>
      <c r="U6" s="69"/>
      <c r="V6" s="69"/>
      <c r="W6" s="69"/>
      <c r="X6" s="69"/>
      <c r="Y6" s="69"/>
      <c r="Z6" s="69"/>
      <c r="AA6" s="69"/>
      <c r="AB6" s="69"/>
      <c r="AC6" s="69"/>
      <c r="AD6" s="98"/>
    </row>
    <row r="7" spans="1:33" x14ac:dyDescent="0.25">
      <c r="B7" s="15">
        <v>46023</v>
      </c>
      <c r="C7" s="103">
        <v>46041.993750000001</v>
      </c>
      <c r="D7" s="7" t="s">
        <v>5</v>
      </c>
      <c r="E7" s="7" t="s">
        <v>26</v>
      </c>
      <c r="F7" s="7" t="s">
        <v>17</v>
      </c>
      <c r="G7" t="s">
        <v>118</v>
      </c>
      <c r="H7" s="7" t="s">
        <v>9</v>
      </c>
      <c r="J7" t="s">
        <v>124</v>
      </c>
      <c r="L7">
        <v>147715</v>
      </c>
      <c r="M7" s="69"/>
      <c r="N7" s="69"/>
      <c r="O7">
        <v>93422</v>
      </c>
      <c r="P7" s="69"/>
      <c r="Q7" s="70">
        <v>971</v>
      </c>
      <c r="R7" s="69"/>
      <c r="S7" s="69"/>
      <c r="T7" s="68">
        <v>45706</v>
      </c>
      <c r="U7" s="69"/>
      <c r="V7" s="69"/>
      <c r="W7" s="69"/>
      <c r="X7" s="69"/>
      <c r="Y7" s="69"/>
      <c r="Z7" s="69"/>
      <c r="AA7" s="69"/>
      <c r="AB7" s="69"/>
      <c r="AC7" s="69"/>
      <c r="AD7" s="98"/>
    </row>
    <row r="8" spans="1:33" x14ac:dyDescent="0.25">
      <c r="B8" s="15">
        <v>46023</v>
      </c>
      <c r="C8" s="103">
        <v>46042.871527777781</v>
      </c>
      <c r="D8" s="7" t="s">
        <v>5</v>
      </c>
      <c r="E8" s="7" t="s">
        <v>26</v>
      </c>
      <c r="F8" s="7" t="s">
        <v>17</v>
      </c>
      <c r="G8" t="s">
        <v>117</v>
      </c>
      <c r="H8" s="7" t="s">
        <v>9</v>
      </c>
      <c r="J8" t="s">
        <v>125</v>
      </c>
      <c r="L8">
        <v>453320</v>
      </c>
      <c r="M8" s="69"/>
      <c r="N8" s="69"/>
      <c r="O8">
        <v>406550</v>
      </c>
      <c r="P8" s="69"/>
      <c r="Q8" s="71">
        <v>2059</v>
      </c>
      <c r="R8" s="69"/>
      <c r="S8" s="69"/>
      <c r="T8" s="68"/>
      <c r="U8" s="69"/>
      <c r="V8" s="69"/>
      <c r="W8" s="69"/>
      <c r="X8" s="69"/>
      <c r="Y8" s="69"/>
      <c r="Z8" s="69"/>
      <c r="AA8" s="69"/>
      <c r="AB8" s="69"/>
      <c r="AC8" s="69"/>
    </row>
    <row r="9" spans="1:33" s="44" customFormat="1" x14ac:dyDescent="0.25">
      <c r="A9" s="42"/>
      <c r="B9" s="15">
        <v>46023</v>
      </c>
      <c r="C9" s="103">
        <v>46047.975694444445</v>
      </c>
      <c r="D9" s="7" t="s">
        <v>5</v>
      </c>
      <c r="E9" s="7" t="s">
        <v>26</v>
      </c>
      <c r="F9" s="7" t="s">
        <v>17</v>
      </c>
      <c r="G9" t="s">
        <v>119</v>
      </c>
      <c r="H9" s="7" t="s">
        <v>9</v>
      </c>
      <c r="I9" s="7"/>
      <c r="J9" t="s">
        <v>126</v>
      </c>
      <c r="K9" s="42"/>
      <c r="L9">
        <v>4319</v>
      </c>
      <c r="M9" s="69"/>
      <c r="N9" s="69"/>
      <c r="O9">
        <v>1643</v>
      </c>
      <c r="P9" s="69"/>
      <c r="Q9" s="71">
        <v>298</v>
      </c>
      <c r="R9" s="69"/>
      <c r="S9" s="69"/>
      <c r="T9" s="69"/>
      <c r="U9" s="69"/>
      <c r="V9" s="69"/>
      <c r="W9" s="69"/>
      <c r="X9" s="69"/>
      <c r="Y9" s="69"/>
      <c r="Z9" s="69"/>
      <c r="AA9" s="69"/>
      <c r="AB9" s="69"/>
      <c r="AC9" s="69"/>
      <c r="AD9" s="98"/>
      <c r="AE9" s="7"/>
      <c r="AF9" s="7"/>
      <c r="AG9" s="7"/>
    </row>
    <row r="10" spans="1:33" x14ac:dyDescent="0.25">
      <c r="B10" s="15">
        <v>46023</v>
      </c>
      <c r="C10" s="103">
        <v>46048.165972222225</v>
      </c>
      <c r="D10" s="7" t="s">
        <v>5</v>
      </c>
      <c r="E10" s="7" t="s">
        <v>26</v>
      </c>
      <c r="F10" s="7" t="s">
        <v>17</v>
      </c>
      <c r="G10" t="s">
        <v>57</v>
      </c>
      <c r="H10" s="7" t="s">
        <v>9</v>
      </c>
      <c r="J10" t="s">
        <v>127</v>
      </c>
      <c r="L10">
        <v>11700</v>
      </c>
      <c r="M10" s="69"/>
      <c r="N10" s="69"/>
      <c r="O10">
        <v>6180</v>
      </c>
      <c r="P10" s="69"/>
      <c r="Q10" s="70">
        <v>7745</v>
      </c>
      <c r="R10" s="69"/>
      <c r="S10" s="69">
        <v>1384</v>
      </c>
      <c r="T10" s="69"/>
      <c r="U10" s="69"/>
      <c r="V10" s="69"/>
      <c r="W10" s="69"/>
      <c r="X10" s="69"/>
      <c r="Y10" s="69"/>
      <c r="Z10" s="69"/>
      <c r="AA10" s="69"/>
      <c r="AB10" s="69"/>
      <c r="AC10" s="69"/>
      <c r="AD10" s="98"/>
    </row>
    <row r="11" spans="1:33" x14ac:dyDescent="0.25">
      <c r="B11" s="15">
        <v>46023</v>
      </c>
      <c r="C11" s="103">
        <v>46049.862500000003</v>
      </c>
      <c r="D11" s="7" t="s">
        <v>5</v>
      </c>
      <c r="E11" s="7" t="s">
        <v>26</v>
      </c>
      <c r="F11" s="7" t="s">
        <v>17</v>
      </c>
      <c r="G11" t="s">
        <v>117</v>
      </c>
      <c r="H11" s="7" t="s">
        <v>9</v>
      </c>
      <c r="J11" t="s">
        <v>128</v>
      </c>
      <c r="L11">
        <v>4228</v>
      </c>
      <c r="M11" s="69"/>
      <c r="N11" s="69"/>
      <c r="O11">
        <v>1794</v>
      </c>
      <c r="P11" s="69"/>
      <c r="Q11" s="70">
        <v>174</v>
      </c>
      <c r="R11" s="69"/>
      <c r="S11" s="69"/>
      <c r="T11" s="68"/>
      <c r="U11" s="69"/>
      <c r="V11" s="69"/>
      <c r="W11" s="69"/>
      <c r="X11" s="69"/>
      <c r="Y11" s="69"/>
      <c r="Z11" s="69"/>
      <c r="AA11" s="69"/>
      <c r="AB11" s="69"/>
      <c r="AC11" s="69"/>
      <c r="AD11" s="98"/>
    </row>
    <row r="12" spans="1:33" x14ac:dyDescent="0.25">
      <c r="B12" s="15">
        <v>46023</v>
      </c>
      <c r="C12" s="103">
        <v>46049.94027777778</v>
      </c>
      <c r="D12" s="7" t="s">
        <v>5</v>
      </c>
      <c r="E12" s="7" t="s">
        <v>26</v>
      </c>
      <c r="F12" s="7" t="s">
        <v>17</v>
      </c>
      <c r="G12" t="s">
        <v>117</v>
      </c>
      <c r="H12" s="7" t="s">
        <v>9</v>
      </c>
      <c r="J12" t="s">
        <v>129</v>
      </c>
      <c r="L12">
        <v>10636</v>
      </c>
      <c r="M12" s="68"/>
      <c r="N12" s="68"/>
      <c r="O12">
        <v>4010</v>
      </c>
      <c r="P12" s="68"/>
      <c r="Q12" s="68">
        <v>862</v>
      </c>
      <c r="R12" s="68"/>
      <c r="S12" s="68"/>
      <c r="T12" s="68"/>
      <c r="U12" s="68"/>
      <c r="V12" s="68"/>
      <c r="W12" s="68"/>
      <c r="X12" s="68"/>
      <c r="Y12" s="68"/>
      <c r="Z12" s="70"/>
      <c r="AA12" s="70"/>
      <c r="AB12" s="70"/>
      <c r="AC12" s="70"/>
    </row>
    <row r="13" spans="1:33" x14ac:dyDescent="0.25">
      <c r="B13" s="15">
        <v>46023</v>
      </c>
      <c r="C13" s="99"/>
      <c r="G13" s="109" t="s">
        <v>58</v>
      </c>
      <c r="J13"/>
      <c r="L13" s="6">
        <v>578376</v>
      </c>
      <c r="M13" s="69"/>
      <c r="N13" s="69"/>
      <c r="O13" s="43">
        <v>266376</v>
      </c>
      <c r="P13" s="69"/>
      <c r="Q13" s="70">
        <v>5419</v>
      </c>
      <c r="R13" s="69"/>
      <c r="S13" s="69"/>
      <c r="T13" s="68"/>
      <c r="U13" s="69"/>
      <c r="V13" s="69"/>
      <c r="W13" s="69"/>
      <c r="X13" s="69"/>
      <c r="Y13" s="69"/>
      <c r="Z13" s="69"/>
      <c r="AA13" s="69"/>
      <c r="AB13" s="69"/>
      <c r="AC13" s="69"/>
    </row>
    <row r="14" spans="1:33" s="104" customFormat="1" x14ac:dyDescent="0.25">
      <c r="B14" s="15">
        <v>46023</v>
      </c>
      <c r="C14" s="105"/>
      <c r="G14" s="106"/>
      <c r="J14" s="107"/>
      <c r="L14" s="106">
        <v>89907</v>
      </c>
      <c r="M14" s="106"/>
      <c r="N14" s="106">
        <v>1266300</v>
      </c>
      <c r="O14" s="106">
        <v>34390</v>
      </c>
      <c r="P14" s="106"/>
      <c r="Q14" s="108">
        <v>744</v>
      </c>
      <c r="R14" s="106"/>
      <c r="S14" s="106"/>
      <c r="T14" s="106"/>
      <c r="U14" s="106"/>
      <c r="V14" s="106"/>
      <c r="W14" s="106"/>
      <c r="X14" s="106"/>
      <c r="Y14" s="106"/>
      <c r="Z14" s="106"/>
      <c r="AA14" s="106"/>
      <c r="AB14" s="106">
        <v>52946</v>
      </c>
      <c r="AC14" s="106">
        <v>38895</v>
      </c>
    </row>
    <row r="15" spans="1:33" x14ac:dyDescent="0.25">
      <c r="C15" s="103"/>
      <c r="E15" s="68"/>
      <c r="G15" s="18"/>
      <c r="H15" s="68"/>
      <c r="J15"/>
      <c r="L15" s="71"/>
      <c r="M15" s="69"/>
      <c r="N15" s="69"/>
      <c r="O15" s="71"/>
      <c r="P15" s="69"/>
      <c r="Q15" s="71"/>
      <c r="R15" s="69"/>
      <c r="S15" s="69"/>
      <c r="T15" s="69"/>
      <c r="U15" s="69"/>
      <c r="V15" s="69"/>
      <c r="W15" s="69"/>
      <c r="X15" s="69"/>
      <c r="Y15" s="69"/>
      <c r="Z15" s="69"/>
      <c r="AA15" s="69"/>
      <c r="AB15" s="69"/>
      <c r="AC15" s="69"/>
      <c r="AD15" s="98"/>
    </row>
  </sheetData>
  <sortState xmlns:xlrd2="http://schemas.microsoft.com/office/spreadsheetml/2017/richdata2" ref="A2:AD15">
    <sortCondition descending="1" ref="Q2:Q15"/>
  </sortState>
  <hyperlinks>
    <hyperlink ref="J5" r:id="rId1" xr:uid="{FC6A737A-C88D-4604-987E-83BD529B35E2}"/>
    <hyperlink ref="J2" r:id="rId2" xr:uid="{8F6D587A-62B4-424A-88E5-105FEE498A32}"/>
    <hyperlink ref="J3" r:id="rId3" xr:uid="{1E324924-3A51-47EA-87C2-7169F2230AC1}"/>
  </hyperlinks>
  <pageMargins left="0.7" right="0.7" top="0.75" bottom="0.75" header="0.3" footer="0.3"/>
  <pageSetup orientation="portrait" horizontalDpi="300" verticalDpi="300" r:id="rId4"/>
  <legacyDrawing r:id="rId5"/>
  <tableParts count="1">
    <tablePart r:id="rId6"/>
  </tableParts>
  <extLst>
    <ext xmlns:x14="http://schemas.microsoft.com/office/spreadsheetml/2009/9/main" uri="{CCE6A557-97BC-4b89-ADB6-D9C93CAAB3DF}">
      <x14:dataValidations xmlns:xm="http://schemas.microsoft.com/office/excel/2006/main" count="4">
        <x14:dataValidation type="list" allowBlank="1" showInputMessage="1" showErrorMessage="1" xr:uid="{BCEE1C6D-431A-4033-96E5-875686B71C22}">
          <x14:formula1>
            <xm:f>'Drop down '!$B$4:$B$7</xm:f>
          </x14:formula1>
          <xm:sqref>D2:D13</xm:sqref>
        </x14:dataValidation>
        <x14:dataValidation type="list" allowBlank="1" showInputMessage="1" showErrorMessage="1" xr:uid="{8377E938-CE62-4361-A729-D139A586A12B}">
          <x14:formula1>
            <xm:f>'Drop down '!$D$4:$D$7</xm:f>
          </x14:formula1>
          <xm:sqref>F2:F13</xm:sqref>
        </x14:dataValidation>
        <x14:dataValidation type="list" allowBlank="1" showInputMessage="1" showErrorMessage="1" xr:uid="{94FF68B7-BFFC-4C50-8364-555081383A51}">
          <x14:formula1>
            <xm:f>'Drop down '!$F$4:$F$9</xm:f>
          </x14:formula1>
          <xm:sqref>H2:H13</xm:sqref>
        </x14:dataValidation>
        <x14:dataValidation type="list" allowBlank="1" showInputMessage="1" showErrorMessage="1" xr:uid="{132E56C9-118F-4AE5-AA8F-E3FFD519ABE8}">
          <x14:formula1>
            <xm:f>'Drop down '!$C$4:$C$18</xm:f>
          </x14:formula1>
          <xm:sqref>E2:E13</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EE2890-6D5A-48CF-9623-6F60C3064188}">
  <dimension ref="B2:Q17"/>
  <sheetViews>
    <sheetView zoomScale="85" zoomScaleNormal="85" workbookViewId="0">
      <selection activeCell="K6" sqref="K6:K8"/>
    </sheetView>
  </sheetViews>
  <sheetFormatPr defaultRowHeight="15" x14ac:dyDescent="0.25"/>
  <cols>
    <col min="2" max="2" width="55.140625" customWidth="1"/>
    <col min="5" max="5" width="23.85546875" customWidth="1"/>
    <col min="8" max="8" width="40.140625" customWidth="1"/>
    <col min="9" max="9" width="13.28515625" customWidth="1"/>
    <col min="11" max="11" width="22.42578125" customWidth="1"/>
    <col min="14" max="14" width="40.5703125" customWidth="1"/>
    <col min="17" max="17" width="24.42578125" customWidth="1"/>
  </cols>
  <sheetData>
    <row r="2" spans="2:17" ht="23.25" x14ac:dyDescent="0.25">
      <c r="B2" s="76" t="s">
        <v>59</v>
      </c>
      <c r="C2" s="100"/>
      <c r="D2" s="100"/>
      <c r="E2" s="100"/>
      <c r="F2" s="100"/>
      <c r="H2" s="76" t="s">
        <v>59</v>
      </c>
      <c r="I2" s="100"/>
      <c r="J2" s="100"/>
      <c r="K2" s="100"/>
      <c r="N2" s="76" t="s">
        <v>59</v>
      </c>
      <c r="O2" s="100"/>
      <c r="P2" s="100"/>
      <c r="Q2" s="100"/>
    </row>
    <row r="3" spans="2:17" x14ac:dyDescent="0.25">
      <c r="B3" s="65" t="s">
        <v>60</v>
      </c>
      <c r="C3" s="66"/>
      <c r="D3" s="65"/>
      <c r="F3" s="66"/>
      <c r="G3" s="65"/>
      <c r="H3" s="65" t="s">
        <v>60</v>
      </c>
      <c r="I3" s="66"/>
      <c r="J3" s="65"/>
      <c r="N3" s="65" t="s">
        <v>60</v>
      </c>
      <c r="O3" s="66"/>
      <c r="P3" s="65"/>
    </row>
    <row r="4" spans="2:17" ht="16.5" x14ac:dyDescent="0.35">
      <c r="B4" s="18"/>
      <c r="C4" s="18"/>
      <c r="D4" s="18"/>
      <c r="E4" s="101" t="s">
        <v>61</v>
      </c>
      <c r="F4" s="18"/>
      <c r="G4" s="18"/>
      <c r="H4" s="18"/>
      <c r="I4" s="18"/>
      <c r="J4" s="18"/>
      <c r="K4" s="101" t="s">
        <v>61</v>
      </c>
      <c r="N4" s="18"/>
      <c r="O4" s="18"/>
      <c r="P4" s="18"/>
      <c r="Q4" s="101" t="s">
        <v>61</v>
      </c>
    </row>
    <row r="5" spans="2:17" ht="21" x14ac:dyDescent="0.25">
      <c r="B5" s="73" t="s">
        <v>62</v>
      </c>
      <c r="C5" s="67"/>
      <c r="D5" s="18"/>
      <c r="E5" s="102"/>
      <c r="F5" s="67"/>
      <c r="G5" s="18"/>
      <c r="H5" s="73" t="s">
        <v>130</v>
      </c>
      <c r="I5" s="67"/>
      <c r="J5" s="18"/>
      <c r="K5" s="102"/>
      <c r="N5" s="73" t="s">
        <v>131</v>
      </c>
      <c r="O5" s="67"/>
      <c r="P5" s="18"/>
      <c r="Q5" s="102"/>
    </row>
    <row r="6" spans="2:17" ht="33.75" customHeight="1" x14ac:dyDescent="0.25">
      <c r="B6" s="74">
        <f>E6</f>
        <v>10879</v>
      </c>
      <c r="E6">
        <v>10879</v>
      </c>
      <c r="H6" s="74">
        <f>K6</f>
        <v>598250</v>
      </c>
      <c r="K6">
        <v>598250</v>
      </c>
      <c r="N6" s="74">
        <f>Q6</f>
        <v>411096</v>
      </c>
      <c r="Q6">
        <v>411096</v>
      </c>
    </row>
    <row r="7" spans="2:17" x14ac:dyDescent="0.25">
      <c r="B7" s="7"/>
      <c r="E7">
        <v>4878</v>
      </c>
      <c r="H7" s="7"/>
      <c r="K7">
        <v>578697</v>
      </c>
      <c r="N7" s="7"/>
      <c r="Q7">
        <v>406550</v>
      </c>
    </row>
    <row r="8" spans="2:17" x14ac:dyDescent="0.25">
      <c r="B8" s="72" t="s">
        <v>63</v>
      </c>
      <c r="E8">
        <v>3479</v>
      </c>
      <c r="H8" s="72" t="s">
        <v>63</v>
      </c>
      <c r="K8">
        <v>490681</v>
      </c>
      <c r="N8" s="72" t="s">
        <v>63</v>
      </c>
      <c r="Q8">
        <v>400173</v>
      </c>
    </row>
    <row r="9" spans="2:17" x14ac:dyDescent="0.25">
      <c r="B9" s="7"/>
      <c r="H9" s="7"/>
      <c r="N9" s="7"/>
    </row>
    <row r="10" spans="2:17" ht="21" x14ac:dyDescent="0.25">
      <c r="B10" s="73" t="s">
        <v>62</v>
      </c>
      <c r="H10" s="73" t="s">
        <v>130</v>
      </c>
      <c r="N10" s="73" t="s">
        <v>131</v>
      </c>
    </row>
    <row r="11" spans="2:17" ht="39.75" customHeight="1" x14ac:dyDescent="0.25">
      <c r="B11" s="74">
        <f>E7</f>
        <v>4878</v>
      </c>
      <c r="H11" s="74">
        <f>K7</f>
        <v>578697</v>
      </c>
      <c r="N11" s="74">
        <f>Q7</f>
        <v>406550</v>
      </c>
    </row>
    <row r="12" spans="2:17" x14ac:dyDescent="0.25">
      <c r="B12" s="7"/>
      <c r="H12" s="7"/>
      <c r="N12" s="7"/>
    </row>
    <row r="13" spans="2:17" x14ac:dyDescent="0.25">
      <c r="B13" s="7"/>
      <c r="H13" s="7"/>
      <c r="N13" s="7"/>
    </row>
    <row r="14" spans="2:17" x14ac:dyDescent="0.25">
      <c r="B14" s="72" t="s">
        <v>64</v>
      </c>
      <c r="H14" s="72" t="s">
        <v>64</v>
      </c>
      <c r="N14" s="72" t="s">
        <v>64</v>
      </c>
    </row>
    <row r="15" spans="2:17" x14ac:dyDescent="0.25">
      <c r="B15" s="7"/>
      <c r="H15" s="7"/>
      <c r="N15" s="7"/>
    </row>
    <row r="16" spans="2:17" ht="21" x14ac:dyDescent="0.25">
      <c r="B16" s="73" t="s">
        <v>62</v>
      </c>
      <c r="H16" s="73" t="s">
        <v>130</v>
      </c>
      <c r="N16" s="73" t="s">
        <v>131</v>
      </c>
    </row>
    <row r="17" spans="2:14" ht="42.75" customHeight="1" x14ac:dyDescent="0.25">
      <c r="B17" s="74">
        <f>E8</f>
        <v>3479</v>
      </c>
      <c r="H17" s="74">
        <f>K8</f>
        <v>490681</v>
      </c>
      <c r="N17" s="74">
        <f>Q8</f>
        <v>400173</v>
      </c>
    </row>
  </sheetData>
  <pageMargins left="0.7" right="0.7" top="0.75" bottom="0.75" header="0.3" footer="0.3"/>
  <pageSetup orientation="portrait" horizontalDpi="0" verticalDpi="0"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73583A4-A6BE-4D73-BF7C-87C0CEABF0E4}">
  <sheetPr codeName="Sheet4"/>
  <dimension ref="A1:C7"/>
  <sheetViews>
    <sheetView zoomScale="130" zoomScaleNormal="130" workbookViewId="0">
      <selection activeCell="C11" sqref="C11"/>
    </sheetView>
  </sheetViews>
  <sheetFormatPr defaultRowHeight="15" x14ac:dyDescent="0.25"/>
  <cols>
    <col min="1" max="1" width="9.140625" style="15"/>
    <col min="2" max="2" width="20.7109375" customWidth="1"/>
    <col min="3" max="3" width="21.28515625" customWidth="1"/>
  </cols>
  <sheetData>
    <row r="1" spans="1:3" x14ac:dyDescent="0.25">
      <c r="A1" s="80" t="s">
        <v>34</v>
      </c>
      <c r="B1" s="78" t="s">
        <v>65</v>
      </c>
      <c r="C1" s="79" t="s">
        <v>66</v>
      </c>
    </row>
    <row r="2" spans="1:3" s="48" customFormat="1" ht="16.149999999999999" customHeight="1" x14ac:dyDescent="0.2">
      <c r="A2" s="45">
        <v>46023</v>
      </c>
      <c r="B2" s="46" t="s">
        <v>67</v>
      </c>
      <c r="C2" s="47">
        <v>0</v>
      </c>
    </row>
    <row r="3" spans="1:3" s="48" customFormat="1" ht="16.149999999999999" customHeight="1" x14ac:dyDescent="0.2">
      <c r="A3" s="45">
        <v>46023</v>
      </c>
      <c r="B3" s="46" t="s">
        <v>68</v>
      </c>
      <c r="C3" s="47">
        <v>0</v>
      </c>
    </row>
    <row r="4" spans="1:3" s="48" customFormat="1" ht="16.149999999999999" customHeight="1" x14ac:dyDescent="0.2">
      <c r="A4" s="45">
        <v>46023</v>
      </c>
      <c r="B4" s="46" t="s">
        <v>69</v>
      </c>
      <c r="C4" s="47">
        <v>2</v>
      </c>
    </row>
    <row r="5" spans="1:3" x14ac:dyDescent="0.25">
      <c r="A5" s="45">
        <v>46023</v>
      </c>
      <c r="B5" s="46" t="s">
        <v>70</v>
      </c>
      <c r="C5" s="47">
        <v>0</v>
      </c>
    </row>
    <row r="6" spans="1:3" x14ac:dyDescent="0.25">
      <c r="A6" s="45">
        <v>46023</v>
      </c>
      <c r="B6" s="46" t="s">
        <v>71</v>
      </c>
      <c r="C6" s="47">
        <v>28</v>
      </c>
    </row>
    <row r="7" spans="1:3" x14ac:dyDescent="0.25">
      <c r="A7" s="45">
        <v>46023</v>
      </c>
      <c r="B7" s="46" t="s">
        <v>72</v>
      </c>
      <c r="C7" s="47">
        <v>0</v>
      </c>
    </row>
  </sheetData>
  <pageMargins left="0.7" right="0.7" top="0.75" bottom="0.75" header="0.3" footer="0.3"/>
  <drawing r:id="rId1"/>
  <tableParts count="1">
    <tablePart r:id="rId2"/>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373B58-C320-432D-90F5-B7D17190BCA8}">
  <sheetPr codeName="Sheet6"/>
  <dimension ref="A1:X5"/>
  <sheetViews>
    <sheetView zoomScale="175" zoomScaleNormal="175" workbookViewId="0">
      <selection activeCell="C3" sqref="C3:D4"/>
    </sheetView>
  </sheetViews>
  <sheetFormatPr defaultColWidth="9.140625" defaultRowHeight="12.75" x14ac:dyDescent="0.25"/>
  <cols>
    <col min="1" max="1" width="11.140625" style="49" customWidth="1"/>
    <col min="2" max="2" width="20.42578125" style="49" customWidth="1"/>
    <col min="3" max="3" width="20" style="49" customWidth="1"/>
    <col min="4" max="4" width="15.85546875" style="49" customWidth="1"/>
    <col min="5" max="16384" width="9.140625" style="49"/>
  </cols>
  <sheetData>
    <row r="1" spans="1:24" ht="15" x14ac:dyDescent="0.25">
      <c r="A1" s="81" t="s">
        <v>34</v>
      </c>
      <c r="B1" s="82" t="s">
        <v>73</v>
      </c>
      <c r="C1" s="83" t="s">
        <v>74</v>
      </c>
      <c r="D1" s="84" t="s">
        <v>75</v>
      </c>
      <c r="E1"/>
      <c r="F1"/>
      <c r="G1"/>
      <c r="H1"/>
      <c r="I1"/>
      <c r="J1"/>
      <c r="K1"/>
      <c r="L1"/>
      <c r="M1"/>
      <c r="N1"/>
      <c r="O1"/>
      <c r="P1"/>
      <c r="Q1"/>
      <c r="R1"/>
      <c r="S1"/>
      <c r="T1"/>
      <c r="U1"/>
      <c r="V1"/>
      <c r="W1"/>
      <c r="X1"/>
    </row>
    <row r="2" spans="1:24" s="50" customFormat="1" ht="14.45" customHeight="1" x14ac:dyDescent="0.25">
      <c r="A2" s="51">
        <v>46023</v>
      </c>
      <c r="B2" s="52" t="s">
        <v>76</v>
      </c>
      <c r="C2" s="53">
        <v>52946</v>
      </c>
      <c r="D2" s="61">
        <v>11</v>
      </c>
      <c r="E2"/>
      <c r="F2"/>
      <c r="G2"/>
      <c r="H2"/>
      <c r="I2"/>
      <c r="J2"/>
      <c r="K2"/>
      <c r="L2"/>
      <c r="M2"/>
      <c r="N2"/>
      <c r="O2"/>
      <c r="P2"/>
      <c r="Q2"/>
      <c r="R2"/>
      <c r="S2"/>
      <c r="T2"/>
      <c r="U2"/>
      <c r="V2"/>
      <c r="W2"/>
      <c r="X2"/>
    </row>
    <row r="3" spans="1:24" s="50" customFormat="1" ht="14.45" customHeight="1" x14ac:dyDescent="0.25">
      <c r="A3" s="51">
        <v>46023</v>
      </c>
      <c r="B3" s="52" t="s">
        <v>77</v>
      </c>
      <c r="C3" s="53">
        <v>2100000</v>
      </c>
      <c r="D3" s="61">
        <v>6</v>
      </c>
      <c r="E3"/>
      <c r="F3"/>
      <c r="G3"/>
      <c r="H3"/>
      <c r="I3"/>
      <c r="J3"/>
      <c r="K3"/>
      <c r="L3"/>
      <c r="M3"/>
      <c r="N3"/>
      <c r="O3"/>
      <c r="P3"/>
      <c r="Q3"/>
      <c r="R3"/>
      <c r="S3"/>
      <c r="T3"/>
      <c r="U3"/>
      <c r="V3"/>
      <c r="W3"/>
      <c r="X3"/>
    </row>
    <row r="4" spans="1:24" ht="15" x14ac:dyDescent="0.25">
      <c r="A4" s="51">
        <v>46023</v>
      </c>
      <c r="B4" s="52" t="s">
        <v>78</v>
      </c>
      <c r="C4" s="53">
        <v>126000</v>
      </c>
      <c r="D4" s="61">
        <v>0</v>
      </c>
    </row>
    <row r="5" spans="1:24" ht="15" x14ac:dyDescent="0.25">
      <c r="A5" s="51">
        <v>46023</v>
      </c>
      <c r="B5" s="52" t="s">
        <v>79</v>
      </c>
      <c r="C5" s="53" t="s">
        <v>133</v>
      </c>
      <c r="D5" s="61" t="s">
        <v>80</v>
      </c>
    </row>
  </sheetData>
  <pageMargins left="0.7" right="0.7" top="0.75" bottom="0.75" header="0.3" footer="0.3"/>
  <tableParts count="1">
    <tablePart r:id="rId1"/>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F979838-8B30-4F62-A974-A2F532301DC1}">
  <dimension ref="A1:D4"/>
  <sheetViews>
    <sheetView workbookViewId="0">
      <selection activeCell="A3" sqref="A3:D4"/>
    </sheetView>
  </sheetViews>
  <sheetFormatPr defaultRowHeight="15" x14ac:dyDescent="0.25"/>
  <cols>
    <col min="1" max="1" width="9.28515625" bestFit="1" customWidth="1"/>
    <col min="2" max="2" width="17.28515625" bestFit="1" customWidth="1"/>
    <col min="3" max="3" width="20.85546875" bestFit="1" customWidth="1"/>
    <col min="4" max="4" width="16.7109375" bestFit="1" customWidth="1"/>
  </cols>
  <sheetData>
    <row r="1" spans="1:4" x14ac:dyDescent="0.25">
      <c r="A1" s="66" t="s">
        <v>81</v>
      </c>
    </row>
    <row r="3" spans="1:4" x14ac:dyDescent="0.25">
      <c r="A3" t="s">
        <v>34</v>
      </c>
      <c r="B3" t="s">
        <v>73</v>
      </c>
      <c r="C3" t="s">
        <v>74</v>
      </c>
      <c r="D3" t="s">
        <v>75</v>
      </c>
    </row>
    <row r="4" spans="1:4" x14ac:dyDescent="0.25">
      <c r="A4" s="110">
        <v>45658</v>
      </c>
      <c r="B4" t="s">
        <v>77</v>
      </c>
      <c r="C4">
        <v>2000000</v>
      </c>
      <c r="D4">
        <v>14</v>
      </c>
    </row>
  </sheetData>
  <pageMargins left="0.7" right="0.7" top="0.75" bottom="0.75" header="0.3" footer="0.3"/>
  <tableParts count="1">
    <tablePart r:id="rId1"/>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5D1BBD2-37BD-4965-B67D-21A6927E6383}">
  <sheetPr codeName="Sheet3"/>
  <dimension ref="B1:S27"/>
  <sheetViews>
    <sheetView topLeftCell="E1" zoomScale="85" zoomScaleNormal="85" workbookViewId="0">
      <selection activeCell="L21" sqref="L21"/>
    </sheetView>
  </sheetViews>
  <sheetFormatPr defaultRowHeight="15" x14ac:dyDescent="0.25"/>
  <cols>
    <col min="1" max="1" width="2.85546875" customWidth="1"/>
    <col min="2" max="2" width="22.42578125" bestFit="1" customWidth="1"/>
    <col min="3" max="3" width="27" bestFit="1" customWidth="1"/>
    <col min="4" max="4" width="6.7109375" customWidth="1"/>
    <col min="5" max="5" width="13.28515625" bestFit="1" customWidth="1"/>
    <col min="6" max="6" width="16.7109375" bestFit="1" customWidth="1"/>
    <col min="7" max="7" width="5.140625" customWidth="1"/>
    <col min="8" max="8" width="25.140625" bestFit="1" customWidth="1"/>
    <col min="9" max="9" width="25.28515625" bestFit="1" customWidth="1"/>
    <col min="10" max="10" width="21.5703125" customWidth="1"/>
    <col min="11" max="11" width="4" customWidth="1"/>
    <col min="12" max="12" width="13.28515625" bestFit="1" customWidth="1"/>
    <col min="13" max="13" width="18.85546875" bestFit="1" customWidth="1"/>
    <col min="14" max="14" width="5.85546875" customWidth="1"/>
    <col min="15" max="15" width="13.28515625" bestFit="1" customWidth="1"/>
    <col min="16" max="16" width="24" bestFit="1" customWidth="1"/>
    <col min="18" max="18" width="13.42578125" bestFit="1" customWidth="1"/>
    <col min="19" max="19" width="18.7109375" bestFit="1" customWidth="1"/>
  </cols>
  <sheetData>
    <row r="1" spans="2:19" ht="66" customHeight="1" x14ac:dyDescent="0.25"/>
    <row r="2" spans="2:19" ht="28.5" customHeight="1" x14ac:dyDescent="0.25"/>
    <row r="3" spans="2:19" x14ac:dyDescent="0.25">
      <c r="B3" s="9" t="s">
        <v>82</v>
      </c>
      <c r="C3" t="s">
        <v>83</v>
      </c>
      <c r="E3" s="9" t="s">
        <v>82</v>
      </c>
      <c r="F3" t="s">
        <v>84</v>
      </c>
      <c r="H3" s="9" t="s">
        <v>82</v>
      </c>
      <c r="I3" t="s">
        <v>85</v>
      </c>
      <c r="J3" t="s">
        <v>86</v>
      </c>
      <c r="L3" s="9" t="s">
        <v>82</v>
      </c>
      <c r="M3" t="s">
        <v>85</v>
      </c>
      <c r="O3" s="9" t="s">
        <v>82</v>
      </c>
      <c r="P3" t="s">
        <v>86</v>
      </c>
      <c r="R3" s="9" t="s">
        <v>82</v>
      </c>
      <c r="S3" t="s">
        <v>87</v>
      </c>
    </row>
    <row r="4" spans="2:19" x14ac:dyDescent="0.25">
      <c r="B4" s="10" t="s">
        <v>132</v>
      </c>
      <c r="C4" s="8">
        <v>3883193</v>
      </c>
      <c r="E4" s="10" t="s">
        <v>132</v>
      </c>
      <c r="F4" s="62">
        <v>1266300</v>
      </c>
      <c r="H4" s="10" t="s">
        <v>132</v>
      </c>
      <c r="I4" s="8">
        <v>40033</v>
      </c>
      <c r="J4" s="8">
        <v>181927</v>
      </c>
      <c r="L4" s="10" t="s">
        <v>132</v>
      </c>
      <c r="M4" s="8">
        <v>40033</v>
      </c>
      <c r="O4" s="10" t="s">
        <v>132</v>
      </c>
      <c r="P4" s="8">
        <v>181927</v>
      </c>
      <c r="R4" s="10" t="s">
        <v>132</v>
      </c>
      <c r="S4" s="8">
        <v>1384</v>
      </c>
    </row>
    <row r="5" spans="2:19" x14ac:dyDescent="0.25">
      <c r="B5" s="11" t="s">
        <v>88</v>
      </c>
      <c r="C5" s="8">
        <v>3883193</v>
      </c>
      <c r="E5" s="11" t="s">
        <v>88</v>
      </c>
      <c r="F5" s="62">
        <v>1266300</v>
      </c>
      <c r="H5" s="11" t="s">
        <v>88</v>
      </c>
      <c r="I5" s="8">
        <v>40033</v>
      </c>
      <c r="J5" s="8">
        <v>181927</v>
      </c>
      <c r="L5" s="11" t="s">
        <v>88</v>
      </c>
      <c r="M5" s="8">
        <v>40033</v>
      </c>
      <c r="O5" s="11" t="s">
        <v>88</v>
      </c>
      <c r="P5" s="8">
        <v>181927</v>
      </c>
      <c r="R5" s="11" t="s">
        <v>88</v>
      </c>
      <c r="S5" s="8">
        <v>1384</v>
      </c>
    </row>
    <row r="19" spans="2:16" x14ac:dyDescent="0.25">
      <c r="B19" s="9" t="s">
        <v>82</v>
      </c>
      <c r="C19" t="s">
        <v>89</v>
      </c>
      <c r="E19" s="9" t="s">
        <v>82</v>
      </c>
      <c r="F19" t="s">
        <v>90</v>
      </c>
      <c r="H19" s="9" t="s">
        <v>82</v>
      </c>
      <c r="I19" t="s">
        <v>91</v>
      </c>
      <c r="L19" s="9" t="s">
        <v>82</v>
      </c>
      <c r="M19" t="s">
        <v>92</v>
      </c>
      <c r="O19" s="9" t="s">
        <v>82</v>
      </c>
      <c r="P19" t="s">
        <v>93</v>
      </c>
    </row>
    <row r="20" spans="2:16" x14ac:dyDescent="0.25">
      <c r="B20" s="10" t="s">
        <v>132</v>
      </c>
      <c r="C20">
        <v>30</v>
      </c>
      <c r="E20" s="10" t="s">
        <v>132</v>
      </c>
      <c r="F20" s="8">
        <v>52946</v>
      </c>
      <c r="H20" s="10" t="s">
        <v>77</v>
      </c>
      <c r="I20">
        <v>2100000</v>
      </c>
      <c r="L20" s="10" t="s">
        <v>77</v>
      </c>
      <c r="M20">
        <v>6</v>
      </c>
      <c r="O20" s="10" t="s">
        <v>132</v>
      </c>
      <c r="P20" s="8">
        <v>38895</v>
      </c>
    </row>
    <row r="21" spans="2:16" x14ac:dyDescent="0.25">
      <c r="B21" s="11" t="s">
        <v>88</v>
      </c>
      <c r="C21">
        <v>30</v>
      </c>
      <c r="E21" s="11" t="s">
        <v>88</v>
      </c>
      <c r="F21" s="8">
        <v>52946</v>
      </c>
      <c r="H21" s="10" t="s">
        <v>78</v>
      </c>
      <c r="I21">
        <v>126000</v>
      </c>
      <c r="L21" s="10" t="s">
        <v>78</v>
      </c>
      <c r="M21">
        <v>0</v>
      </c>
      <c r="O21" s="11" t="s">
        <v>88</v>
      </c>
      <c r="P21" s="8">
        <v>38895</v>
      </c>
    </row>
    <row r="22" spans="2:16" x14ac:dyDescent="0.25">
      <c r="B22" s="14" t="s">
        <v>67</v>
      </c>
      <c r="C22">
        <v>0</v>
      </c>
      <c r="H22" s="10" t="s">
        <v>79</v>
      </c>
      <c r="I22">
        <v>0</v>
      </c>
      <c r="L22" s="10" t="s">
        <v>79</v>
      </c>
      <c r="M22">
        <v>0</v>
      </c>
    </row>
    <row r="23" spans="2:16" x14ac:dyDescent="0.25">
      <c r="B23" s="14" t="s">
        <v>68</v>
      </c>
      <c r="C23">
        <v>0</v>
      </c>
      <c r="H23" s="10" t="s">
        <v>76</v>
      </c>
      <c r="I23">
        <v>52946</v>
      </c>
      <c r="L23" s="10" t="s">
        <v>76</v>
      </c>
      <c r="M23">
        <v>11</v>
      </c>
    </row>
    <row r="24" spans="2:16" x14ac:dyDescent="0.25">
      <c r="B24" s="14" t="s">
        <v>72</v>
      </c>
      <c r="C24">
        <v>0</v>
      </c>
    </row>
    <row r="25" spans="2:16" x14ac:dyDescent="0.25">
      <c r="B25" s="14" t="s">
        <v>70</v>
      </c>
      <c r="C25">
        <v>0</v>
      </c>
    </row>
    <row r="26" spans="2:16" x14ac:dyDescent="0.25">
      <c r="B26" s="14" t="s">
        <v>69</v>
      </c>
      <c r="C26">
        <v>2</v>
      </c>
    </row>
    <row r="27" spans="2:16" x14ac:dyDescent="0.25">
      <c r="B27" s="14" t="s">
        <v>71</v>
      </c>
      <c r="C27">
        <v>28</v>
      </c>
    </row>
  </sheetData>
  <pageMargins left="0.7" right="0.7" top="0.75" bottom="0.75" header="0.3" footer="0.3"/>
  <pageSetup orientation="portrait" horizontalDpi="360" verticalDpi="360" r:id="rId12"/>
  <drawing r:id="rId1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44F954-D2F0-4F28-9B98-123DAECEB16E}">
  <sheetPr codeName="Sheet2"/>
  <dimension ref="A1:AF90"/>
  <sheetViews>
    <sheetView showGridLines="0" tabSelected="1" zoomScale="85" zoomScaleNormal="85" workbookViewId="0">
      <pane ySplit="1" topLeftCell="A4" activePane="bottomLeft" state="frozen"/>
      <selection pane="bottomLeft" activeCell="D63" sqref="D63"/>
    </sheetView>
  </sheetViews>
  <sheetFormatPr defaultRowHeight="15" x14ac:dyDescent="0.25"/>
  <cols>
    <col min="1" max="1" width="13.42578125" customWidth="1"/>
    <col min="2" max="2" width="17.5703125" customWidth="1"/>
    <col min="3" max="3" width="22.85546875" customWidth="1"/>
    <col min="4" max="4" width="21.28515625" customWidth="1"/>
    <col min="5" max="5" width="23.7109375" customWidth="1"/>
    <col min="6" max="6" width="24.42578125" customWidth="1"/>
    <col min="7" max="7" width="9.140625" customWidth="1"/>
    <col min="12" max="12" width="12" customWidth="1"/>
    <col min="13" max="13" width="14.85546875" bestFit="1" customWidth="1"/>
    <col min="18" max="18" width="9.140625" customWidth="1"/>
    <col min="20" max="20" width="11.140625" bestFit="1" customWidth="1"/>
    <col min="21" max="23" width="9.140625" customWidth="1"/>
    <col min="24" max="24" width="11.140625" customWidth="1"/>
    <col min="25" max="25" width="13.28515625" customWidth="1"/>
    <col min="26" max="26" width="11.140625" customWidth="1"/>
    <col min="33" max="33" width="11.42578125" bestFit="1" customWidth="1"/>
  </cols>
  <sheetData>
    <row r="1" spans="2:3" ht="55.5" customHeight="1" x14ac:dyDescent="0.25"/>
    <row r="2" spans="2:3" ht="21" x14ac:dyDescent="0.35">
      <c r="B2" s="97" t="s">
        <v>94</v>
      </c>
      <c r="C2" s="95" t="s">
        <v>95</v>
      </c>
    </row>
    <row r="3" spans="2:3" ht="21" x14ac:dyDescent="0.35">
      <c r="B3" s="96">
        <v>0</v>
      </c>
      <c r="C3" s="96">
        <v>1</v>
      </c>
    </row>
    <row r="26" spans="2:32" x14ac:dyDescent="0.25">
      <c r="B26" s="35" t="s">
        <v>96</v>
      </c>
      <c r="C26" s="64" t="e">
        <f>(GETPIVOTDATA("Impressions",Pivot!$B$3,"Months (Month)",C3,"Years (Month)",2025)-GETPIVOTDATA("Impressions",Pivot!$B$3,"Months (Month)",B3,"Years (Month)",2024))/GETPIVOTDATA("Impressions",Pivot!$B$3,"Months (Month)",B3,"Years (Month)",2024)</f>
        <v>#REF!</v>
      </c>
      <c r="E26" s="34" t="s">
        <v>96</v>
      </c>
      <c r="F26" s="16" t="e">
        <f>(GETPIVOTDATA("Reach ",Pivot!$E$3,"Months (Month)",C3,"Years (Month)",2025)-GETPIVOTDATA("Reach ",Pivot!$E$3,"Months (Month)",B3,"Years (Month)",2024))/GETPIVOTDATA("Reach ",Pivot!$E$3,"Months (Month)",B3,"Years (Month)",2024)</f>
        <v>#REF!</v>
      </c>
      <c r="R26" s="36" t="s">
        <v>96</v>
      </c>
      <c r="S26" s="16" t="e">
        <f>(GETPIVOTDATA("Engagement",Pivot!$L$3,"Months (Month)",C3,"Years (Month)",2025)-GETPIVOTDATA("Engagement",Pivot!$L$3,"Months (Month)",B3,"Years (Month)",2024))/GETPIVOTDATA("Engagement",Pivot!$L$3,"Months (Month)",B3,"Years (Month)",2024)</f>
        <v>#REF!</v>
      </c>
      <c r="X26" s="37" t="s">
        <v>96</v>
      </c>
      <c r="Y26" s="16" t="e">
        <f>(GETPIVOTDATA("3 Sec Video Views",Pivot!$O$3,"Months (Month)",C3,"Years (Month)",2025)-GETPIVOTDATA("3 Sec Video Views",Pivot!$O$3,"Months (Month)",B3,"Years (Month)",2024))/GETPIVOTDATA("3 Sec Video Views",Pivot!$O$3,"Months (Month)",B3,"Years (Month)",2024)</f>
        <v>#REF!</v>
      </c>
      <c r="AE26" s="37" t="s">
        <v>96</v>
      </c>
      <c r="AF26" s="16" t="e">
        <f>(GETPIVOTDATA("FB Live 3Sec",Pivot!$R$3,"Months (Month)",C3,"Years (Month)",2025)-GETPIVOTDATA("FB Live 3Sec",Pivot!$R$3,"Months (Month)",B3,"Years (Month)",2024))/GETPIVOTDATA("FB Live 3Sec",Pivot!$R$3,"Months (Month)",B3,"Years (Month)",2024)</f>
        <v>#REF!</v>
      </c>
    </row>
    <row r="49" spans="1:27" x14ac:dyDescent="0.25">
      <c r="Z49" s="7"/>
    </row>
    <row r="50" spans="1:27" ht="25.5" customHeight="1" x14ac:dyDescent="0.25">
      <c r="F50" s="40" t="s">
        <v>97</v>
      </c>
      <c r="G50" s="38" t="e">
        <f>GETPIVOTDATA("Follower",Pivot!$E$19,"Months (Month)",C3,"Years (Month)",2025)-GETPIVOTDATA("Follower",Pivot!$E$19,"Months (Month)",B3,"Years (Month)",2024)</f>
        <v>#REF!</v>
      </c>
      <c r="L50" s="17" t="s">
        <v>96</v>
      </c>
      <c r="M50" s="16" t="e">
        <f>GETPIVOTDATA("Page Visit",Pivot!$O$19,"Months (Month)",C3,"Years (Month)",2025)-GETPIVOTDATA("Page Visit",Pivot!$O$19,"Months (Month)",B3,"Years (Month)",2024)</f>
        <v>#REF!</v>
      </c>
      <c r="Q50" s="20" t="s">
        <v>98</v>
      </c>
      <c r="R50" s="19"/>
      <c r="S50" s="19"/>
      <c r="T50" s="18" t="s">
        <v>99</v>
      </c>
      <c r="U50" s="18" t="s">
        <v>100</v>
      </c>
      <c r="V50" t="s">
        <v>101</v>
      </c>
      <c r="X50" s="20"/>
      <c r="Y50" s="19"/>
      <c r="AA50" s="7"/>
    </row>
    <row r="51" spans="1:27" ht="25.5" customHeight="1" x14ac:dyDescent="0.25">
      <c r="F51" s="41" t="s">
        <v>102</v>
      </c>
      <c r="G51" s="39" t="e">
        <f>(GETPIVOTDATA("Follower",Pivot!$E$19,"Months (Month)",1,"Years (Month)",2025)-GETPIVOTDATA("Follower",Pivot!$E$19,"Months (Month)",12,"Years (Month)",2024))/GETPIVOTDATA("Follower",Pivot!$E$19,"Months (Month)",12,"Years (Month)",2024)</f>
        <v>#REF!</v>
      </c>
      <c r="R51" s="7" t="s">
        <v>103</v>
      </c>
      <c r="T51" s="6" t="e">
        <f>GETPIVOTDATA("Monthly_Followers",Pivot!$H$19,"Competitors_ID","Bar B Q Plaza","Months (Month)",1,"Years (Month)",2025)-GETPIVOTDATA("Monthly_Followers",Pivot!$H$19,"Competitors_ID","Bar B Q Plaza","Months (Month)",12,"Years (Month)",2024)</f>
        <v>#REF!</v>
      </c>
      <c r="U51" s="6"/>
      <c r="V51" t="e">
        <f>GETPIVOTDATA("Monthly_Posts",Pivot!$L$19,"Competitors_ID","Sponsor ສະປອນເຊີ","Years (Month)",2024)</f>
        <v>#REF!</v>
      </c>
      <c r="X51" s="7"/>
      <c r="Z51" s="6"/>
      <c r="AA51" s="6"/>
    </row>
    <row r="52" spans="1:27" ht="22.5" customHeight="1" x14ac:dyDescent="0.25">
      <c r="R52" s="7" t="s">
        <v>77</v>
      </c>
      <c r="T52" s="6" t="e">
        <f>GETPIVOTDATA("Sum of Monthly_Followers",Pivot!$H$19,"Competitors_ID","M-150","Months (Month)",C3,"Years (Month)",2024)-GETPIVOTDATA("Sum of Monthly_Followers",Pivot!$H$19,"Competitors_ID","M-150","Months (Month)",B3,"Years (Month)",2024)</f>
        <v>#REF!</v>
      </c>
      <c r="U52" s="6"/>
      <c r="V52" t="e">
        <f>GETPIVOTDATA("Monthly_Posts",Pivot!$L$19,"Competitors_ID","M-150","Years (Month)",2024)</f>
        <v>#REF!</v>
      </c>
      <c r="X52" s="7"/>
      <c r="Z52" s="6"/>
      <c r="AA52" s="6"/>
    </row>
    <row r="53" spans="1:27" ht="22.5" customHeight="1" x14ac:dyDescent="0.25">
      <c r="R53" s="7" t="s">
        <v>104</v>
      </c>
      <c r="T53" s="6" t="e">
        <f>GETPIVOTDATA("Sum of Monthly_Followers",Pivot!$H$19,"Competitors_ID","Sting Laos","Months (Month)",C3,"Years (Month)",2024)-GETPIVOTDATA("Sum of Monthly_Followers",Pivot!$H$19,"Competitors_ID","Sting Laos","Months (Month)",B3,"Years (Month)",2024)</f>
        <v>#REF!</v>
      </c>
      <c r="U53" s="6"/>
      <c r="V53" t="e">
        <f>GETPIVOTDATA("Monthly_Posts",Pivot!$L$19,"Competitors_ID","Sting Laos","Years (Month)",2024)</f>
        <v>#REF!</v>
      </c>
      <c r="X53" s="7"/>
      <c r="Z53" s="6"/>
      <c r="AA53" s="6"/>
    </row>
    <row r="54" spans="1:27" x14ac:dyDescent="0.25">
      <c r="R54" s="7" t="s">
        <v>105</v>
      </c>
      <c r="T54" s="6" t="e">
        <f>GETPIVOTDATA("Sum of Monthly_Followers",Pivot!$H$19,"Competitors_ID","CarabaoLaos ຄາຣາບາວລາວ","Months (Month)",C3,"Years (Month)",2024)-GETPIVOTDATA("Sum of Monthly_Followers",Pivot!$H$19,"Competitors_ID","CarabaoLaos ຄາຣາບາວລາວ","Months (Month)",B3,"Years (Month)",2024)</f>
        <v>#REF!</v>
      </c>
      <c r="U54" s="6"/>
      <c r="V54" t="e">
        <f>GETPIVOTDATA("Monthly_Posts",Pivot!$L$19,"Competitors_ID","CarabaoLaos ຄາຣາບາວລາວ","Years (Month)",2024)</f>
        <v>#REF!</v>
      </c>
      <c r="X54" s="7"/>
      <c r="Z54" s="6"/>
      <c r="AA54" s="6"/>
    </row>
    <row r="58" spans="1:27" ht="49.15" customHeight="1" x14ac:dyDescent="0.25">
      <c r="A58" s="22"/>
      <c r="B58" s="118" t="s">
        <v>59</v>
      </c>
      <c r="C58" s="118"/>
      <c r="D58" s="118"/>
      <c r="E58" s="118"/>
      <c r="F58" s="118"/>
      <c r="G58" s="22"/>
      <c r="H58" s="22"/>
    </row>
    <row r="59" spans="1:27" ht="36.75" customHeight="1" x14ac:dyDescent="0.25">
      <c r="A59" s="22"/>
      <c r="B59" s="58" t="s">
        <v>106</v>
      </c>
      <c r="C59" s="59" t="s">
        <v>107</v>
      </c>
      <c r="D59" s="58" t="s">
        <v>108</v>
      </c>
      <c r="E59" s="60" t="s">
        <v>109</v>
      </c>
      <c r="F59" s="60" t="s">
        <v>110</v>
      </c>
      <c r="G59" s="22"/>
      <c r="H59" s="22"/>
    </row>
    <row r="60" spans="1:27" ht="97.5" customHeight="1" x14ac:dyDescent="0.25">
      <c r="A60" s="22"/>
      <c r="B60" s="114">
        <v>1</v>
      </c>
      <c r="C60" s="115"/>
      <c r="D60" s="117" t="s">
        <v>76</v>
      </c>
      <c r="E60" s="116">
        <f>GETPIVOTDATA("Monthly_Followers",Pivot!$H$19,"Competitors_ID","Sponsor ສະປອນເຊີ ")</f>
        <v>52946</v>
      </c>
      <c r="F60" s="57">
        <f>GETPIVOTDATA("Monthly_Posts",Pivot!$L$19,"Competitors_ID","Sponsor ສະປອນເຊີ ")</f>
        <v>11</v>
      </c>
      <c r="G60" s="22"/>
      <c r="H60" s="22"/>
    </row>
    <row r="61" spans="1:27" ht="87.75" customHeight="1" x14ac:dyDescent="0.25">
      <c r="A61" s="29"/>
      <c r="B61" s="86">
        <v>2</v>
      </c>
      <c r="C61" s="90"/>
      <c r="D61" s="94" t="s">
        <v>77</v>
      </c>
      <c r="E61" s="57">
        <f>GETPIVOTDATA("Monthly_Followers",Pivot!$H$19,"Competitors_ID","M-150")</f>
        <v>2100000</v>
      </c>
      <c r="F61" s="57">
        <f>GETPIVOTDATA("Monthly_Posts",Pivot!$L$19,"Competitors_ID","M-150")</f>
        <v>6</v>
      </c>
      <c r="G61" s="22"/>
      <c r="H61" s="22"/>
    </row>
    <row r="62" spans="1:27" ht="105" customHeight="1" x14ac:dyDescent="0.25">
      <c r="A62" s="22"/>
      <c r="B62" s="87">
        <v>3</v>
      </c>
      <c r="C62" s="92"/>
      <c r="D62" s="111" t="s">
        <v>111</v>
      </c>
      <c r="E62" s="57">
        <f>GETPIVOTDATA("Monthly_Followers",Pivot!$H$19,"Competitors_ID","Sting Laos")</f>
        <v>126000</v>
      </c>
      <c r="F62" s="57">
        <f>GETPIVOTDATA("Monthly_Posts",Pivot!$L$19,"Competitors_ID","Sting Laos")</f>
        <v>0</v>
      </c>
      <c r="G62" s="22"/>
      <c r="H62" s="22"/>
    </row>
    <row r="63" spans="1:27" ht="105" customHeight="1" x14ac:dyDescent="0.25">
      <c r="A63" s="22"/>
      <c r="B63" s="88">
        <v>4</v>
      </c>
      <c r="C63" s="27"/>
      <c r="D63" s="112" t="s">
        <v>112</v>
      </c>
      <c r="E63" s="57">
        <f>GETPIVOTDATA("Monthly_Followers",Pivot!$H$19,"Competitors_ID","CarabaoLaos ຄາຣາບາວລາວ")</f>
        <v>0</v>
      </c>
      <c r="F63" s="91">
        <f>GETPIVOTDATA("Monthly_Posts",Pivot!$L$19,"Competitors_ID","CarabaoLaos ຄາຣາບາວລາວ")</f>
        <v>0</v>
      </c>
      <c r="G63" s="22"/>
      <c r="H63" s="22"/>
    </row>
    <row r="64" spans="1:27" ht="91.5" customHeight="1" x14ac:dyDescent="0.25">
      <c r="A64" s="22"/>
      <c r="B64" s="22"/>
      <c r="C64" s="22"/>
      <c r="D64" s="22"/>
      <c r="E64" s="22"/>
      <c r="F64" s="22"/>
      <c r="G64" s="22"/>
      <c r="H64" s="22"/>
    </row>
    <row r="65" spans="1:15" ht="87.75" customHeight="1" x14ac:dyDescent="0.25">
      <c r="A65" s="29"/>
      <c r="B65" s="119" t="s">
        <v>113</v>
      </c>
      <c r="C65" s="118"/>
      <c r="D65" s="118"/>
      <c r="E65" s="118"/>
      <c r="F65" s="118"/>
      <c r="G65" s="22"/>
      <c r="H65" s="22"/>
    </row>
    <row r="66" spans="1:15" ht="81.75" customHeight="1" x14ac:dyDescent="0.25">
      <c r="A66" s="29"/>
      <c r="B66" s="93" t="s">
        <v>106</v>
      </c>
      <c r="C66" s="59" t="s">
        <v>107</v>
      </c>
      <c r="D66" s="58" t="s">
        <v>108</v>
      </c>
      <c r="E66" s="60" t="s">
        <v>109</v>
      </c>
      <c r="F66" s="60" t="s">
        <v>114</v>
      </c>
      <c r="G66" s="22"/>
      <c r="H66" s="22"/>
      <c r="O66" s="21"/>
    </row>
    <row r="67" spans="1:15" ht="96" customHeight="1" x14ac:dyDescent="0.25">
      <c r="A67" s="22"/>
      <c r="B67" s="87">
        <v>1</v>
      </c>
      <c r="C67" s="23"/>
      <c r="D67" s="55"/>
      <c r="E67" s="57" t="e">
        <f>(GETPIVOTDATA("Monthly_Followers",Pivot!$H$19,"Competitors_ID","Sponsor ສະປອນເຊີ","Months (Month)",C3,"Years (Month)",2024))</f>
        <v>#REF!</v>
      </c>
      <c r="F67" s="57" t="e">
        <f>V51</f>
        <v>#REF!</v>
      </c>
      <c r="G67" s="22"/>
      <c r="H67" s="22"/>
    </row>
    <row r="68" spans="1:15" ht="96" customHeight="1" x14ac:dyDescent="0.25">
      <c r="A68" s="22"/>
      <c r="B68" s="89">
        <v>2</v>
      </c>
      <c r="C68" s="25"/>
      <c r="D68" s="94"/>
      <c r="E68" s="57" t="e">
        <f>(GETPIVOTDATA("Monthly_Followers",Pivot!$H$19,"Competitors_ID","M-150","Months (Month)",C3,"Years (Month)",2024))</f>
        <v>#REF!</v>
      </c>
      <c r="F68" s="57" t="e">
        <f>V52</f>
        <v>#REF!</v>
      </c>
      <c r="G68" s="22"/>
      <c r="H68" s="22"/>
    </row>
    <row r="69" spans="1:15" ht="96" customHeight="1" x14ac:dyDescent="0.25">
      <c r="A69" s="85"/>
      <c r="B69" s="27">
        <v>3</v>
      </c>
      <c r="C69" s="28"/>
      <c r="D69" s="56"/>
      <c r="E69" s="57" t="e">
        <f>(GETPIVOTDATA("Monthly_Followers",Pivot!$H$19,"Competitors_ID","Sting Laos","Months (Month)",C3,"Years (Month)",2024))</f>
        <v>#REF!</v>
      </c>
      <c r="F69" s="57" t="e">
        <f>V53</f>
        <v>#REF!</v>
      </c>
      <c r="G69" s="22"/>
      <c r="H69" s="22"/>
    </row>
    <row r="70" spans="1:15" ht="96" customHeight="1" x14ac:dyDescent="0.25">
      <c r="A70" s="22"/>
      <c r="B70" s="26">
        <v>4</v>
      </c>
      <c r="C70" s="25"/>
      <c r="D70" s="55"/>
      <c r="E70" s="57" t="e">
        <f>(GETPIVOTDATA("Monthly_Followers",Pivot!$H$19,"Competitors_ID","CarabaoLaos ຄາຣາບາວລາວ","Months (Month)",C3,"Years (Month)",2024))</f>
        <v>#REF!</v>
      </c>
      <c r="F70" s="57" t="e">
        <f>V54</f>
        <v>#REF!</v>
      </c>
      <c r="G70" s="22"/>
      <c r="H70" s="22"/>
    </row>
    <row r="71" spans="1:15" ht="91.5" customHeight="1" x14ac:dyDescent="0.25">
      <c r="A71" s="22"/>
      <c r="G71" s="22"/>
      <c r="H71" s="22"/>
    </row>
    <row r="72" spans="1:15" ht="87.75" customHeight="1" x14ac:dyDescent="0.25">
      <c r="A72" s="29"/>
      <c r="G72" s="22"/>
      <c r="H72" s="22"/>
    </row>
    <row r="73" spans="1:15" ht="81.75" customHeight="1" x14ac:dyDescent="0.25">
      <c r="A73" s="29"/>
      <c r="G73" s="22"/>
      <c r="H73" s="22"/>
      <c r="O73" s="21"/>
    </row>
    <row r="74" spans="1:15" ht="87.75" customHeight="1" x14ac:dyDescent="0.25">
      <c r="A74" s="22"/>
      <c r="B74" s="22"/>
      <c r="C74" s="22"/>
      <c r="D74" s="22"/>
      <c r="E74" s="22"/>
      <c r="F74" s="22"/>
      <c r="G74" s="22"/>
      <c r="H74" s="22"/>
    </row>
    <row r="75" spans="1:15" ht="23.25" x14ac:dyDescent="0.25">
      <c r="A75" s="22"/>
      <c r="B75" s="75" t="s">
        <v>115</v>
      </c>
      <c r="C75" s="75"/>
      <c r="D75" s="75"/>
      <c r="E75" s="75"/>
      <c r="F75" s="75"/>
      <c r="G75" s="22"/>
      <c r="H75" s="22"/>
    </row>
    <row r="76" spans="1:15" ht="17.25" x14ac:dyDescent="0.25">
      <c r="A76" s="22"/>
      <c r="B76" s="58" t="s">
        <v>106</v>
      </c>
      <c r="C76" s="59" t="s">
        <v>107</v>
      </c>
      <c r="D76" s="58" t="s">
        <v>108</v>
      </c>
      <c r="E76" s="60" t="s">
        <v>109</v>
      </c>
      <c r="F76" s="60" t="s">
        <v>116</v>
      </c>
      <c r="G76" s="22"/>
      <c r="H76" s="22"/>
    </row>
    <row r="77" spans="1:15" ht="20.25" x14ac:dyDescent="0.25">
      <c r="A77" s="85"/>
      <c r="B77" s="24">
        <v>1</v>
      </c>
      <c r="C77" s="23"/>
      <c r="D77" s="55"/>
      <c r="E77" s="57"/>
      <c r="F77" s="57"/>
      <c r="G77" s="22"/>
      <c r="H77" s="22"/>
    </row>
    <row r="78" spans="1:15" ht="20.25" x14ac:dyDescent="0.25">
      <c r="A78" s="85"/>
      <c r="B78" s="24">
        <v>2</v>
      </c>
      <c r="C78" s="25"/>
      <c r="D78" s="54"/>
      <c r="E78" s="57"/>
      <c r="F78" s="57"/>
      <c r="G78" s="22"/>
      <c r="H78" s="22"/>
    </row>
    <row r="79" spans="1:15" ht="20.25" x14ac:dyDescent="0.25">
      <c r="A79" s="85"/>
      <c r="B79" s="27">
        <v>3</v>
      </c>
      <c r="C79" s="28"/>
      <c r="D79" s="56"/>
      <c r="E79" s="57"/>
      <c r="F79" s="57"/>
      <c r="G79" s="22"/>
      <c r="H79" s="22"/>
    </row>
    <row r="80" spans="1:15" ht="20.25" x14ac:dyDescent="0.25">
      <c r="A80" s="22"/>
      <c r="B80" s="26">
        <v>4</v>
      </c>
      <c r="C80" s="25"/>
      <c r="D80" s="55"/>
      <c r="E80" s="57"/>
      <c r="F80" s="57"/>
      <c r="G80" s="22"/>
      <c r="H80" s="22"/>
    </row>
    <row r="81" spans="1:8" x14ac:dyDescent="0.25">
      <c r="A81" s="22"/>
      <c r="B81" s="22"/>
      <c r="C81" s="22"/>
      <c r="D81" s="22"/>
      <c r="E81" s="22"/>
      <c r="F81" s="22"/>
      <c r="G81" s="22"/>
      <c r="H81" s="22"/>
    </row>
    <row r="82" spans="1:8" x14ac:dyDescent="0.25">
      <c r="A82" s="22"/>
      <c r="B82" s="22"/>
      <c r="C82" s="22"/>
      <c r="D82" s="22"/>
      <c r="E82" s="22"/>
      <c r="F82" s="22"/>
      <c r="G82" s="22"/>
      <c r="H82" s="22"/>
    </row>
    <row r="83" spans="1:8" x14ac:dyDescent="0.25">
      <c r="A83" s="22"/>
      <c r="B83" s="22"/>
      <c r="C83" s="22"/>
      <c r="D83" s="22"/>
      <c r="E83" s="22"/>
      <c r="F83" s="22"/>
      <c r="G83" s="22"/>
      <c r="H83" s="22"/>
    </row>
    <row r="84" spans="1:8" x14ac:dyDescent="0.25">
      <c r="A84" s="22"/>
      <c r="B84" s="22"/>
      <c r="C84" s="22"/>
      <c r="D84" s="22"/>
      <c r="E84" s="22"/>
      <c r="F84" s="22"/>
      <c r="G84" s="22"/>
      <c r="H84" s="22"/>
    </row>
    <row r="85" spans="1:8" x14ac:dyDescent="0.25">
      <c r="A85" s="22"/>
      <c r="B85" s="22"/>
      <c r="C85" s="22"/>
      <c r="D85" s="22"/>
      <c r="E85" s="22"/>
      <c r="F85" s="22"/>
      <c r="G85" s="22"/>
      <c r="H85" s="22"/>
    </row>
    <row r="86" spans="1:8" x14ac:dyDescent="0.25">
      <c r="A86" s="22"/>
      <c r="B86" s="22"/>
      <c r="C86" s="22"/>
      <c r="D86" s="22"/>
      <c r="E86" s="22"/>
      <c r="F86" s="22"/>
      <c r="G86" s="22"/>
      <c r="H86" s="22"/>
    </row>
    <row r="87" spans="1:8" x14ac:dyDescent="0.25">
      <c r="A87" s="22"/>
      <c r="B87" s="22"/>
      <c r="C87" s="22"/>
      <c r="D87" s="22"/>
      <c r="E87" s="22"/>
      <c r="F87" s="22"/>
      <c r="G87" s="22"/>
      <c r="H87" s="22"/>
    </row>
    <row r="88" spans="1:8" x14ac:dyDescent="0.25">
      <c r="A88" s="22"/>
      <c r="B88" s="22"/>
      <c r="C88" s="22"/>
      <c r="D88" s="22"/>
      <c r="E88" s="22"/>
      <c r="F88" s="22"/>
      <c r="G88" s="22"/>
      <c r="H88" s="22"/>
    </row>
    <row r="89" spans="1:8" x14ac:dyDescent="0.25">
      <c r="A89" s="22"/>
      <c r="B89" s="22"/>
      <c r="C89" s="22"/>
      <c r="D89" s="22"/>
      <c r="E89" s="22"/>
      <c r="F89" s="22"/>
      <c r="G89" s="22"/>
      <c r="H89" s="22"/>
    </row>
    <row r="90" spans="1:8" x14ac:dyDescent="0.25">
      <c r="A90" s="22"/>
      <c r="B90" s="22"/>
      <c r="C90" s="22"/>
      <c r="D90" s="22"/>
      <c r="E90" s="22"/>
      <c r="F90" s="22"/>
      <c r="G90" s="22"/>
      <c r="H90" s="22"/>
    </row>
  </sheetData>
  <mergeCells count="2">
    <mergeCell ref="B58:F58"/>
    <mergeCell ref="B65:F65"/>
  </mergeCells>
  <pageMargins left="0.7" right="0.7" top="0.75" bottom="0.75" header="0.3" footer="0.3"/>
  <pageSetup orientation="portrait" horizontalDpi="0" verticalDpi="0" r:id="rId1"/>
  <drawing r:id="rId2"/>
  <tableParts count="3">
    <tablePart r:id="rId3"/>
    <tablePart r:id="rId4"/>
    <tablePart r:id="rId5"/>
  </tableParts>
  <extLst>
    <ext xmlns:x14="http://schemas.microsoft.com/office/spreadsheetml/2009/9/main" uri="{A8765BA9-456A-4dab-B4F3-ACF838C121DE}">
      <x14:slicerList>
        <x14:slicer r:id="rId6"/>
      </x14:slicerList>
    </ext>
  </extLs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ct:contentTypeSchema xmlns:ct="http://schemas.microsoft.com/office/2006/metadata/contentType" xmlns:ma="http://schemas.microsoft.com/office/2006/metadata/properties/metaAttributes" ct:_="" ma:_="" ma:contentTypeName="Document" ma:contentTypeID="0x010100FFDF1BD5C75DF7418C54E39B053979D2" ma:contentTypeVersion="17" ma:contentTypeDescription="Create a new document." ma:contentTypeScope="" ma:versionID="3bddac44f0c10fe2cb007bfebc87af25">
  <xsd:schema xmlns:xsd="http://www.w3.org/2001/XMLSchema" xmlns:xs="http://www.w3.org/2001/XMLSchema" xmlns:p="http://schemas.microsoft.com/office/2006/metadata/properties" xmlns:ns2="533e14c5-6fce-46d6-8eae-aae914e02e9c" xmlns:ns3="1e47758e-5cad-425f-a4ff-8e0ef73ec3a4" targetNamespace="http://schemas.microsoft.com/office/2006/metadata/properties" ma:root="true" ma:fieldsID="ee9abbfb23987daa3dc9020f84b92700" ns2:_="" ns3:_="">
    <xsd:import namespace="533e14c5-6fce-46d6-8eae-aae914e02e9c"/>
    <xsd:import namespace="1e47758e-5cad-425f-a4ff-8e0ef73ec3a4"/>
    <xsd:element name="properties">
      <xsd:complexType>
        <xsd:sequence>
          <xsd:element name="documentManagement">
            <xsd:complexType>
              <xsd:all>
                <xsd:element ref="ns2:MediaServiceMetadata" minOccurs="0"/>
                <xsd:element ref="ns2:MediaServiceFastMetadata" minOccurs="0"/>
                <xsd:element ref="ns2:MediaServiceAutoTags" minOccurs="0"/>
                <xsd:element ref="ns2:MediaServiceGenerationTime" minOccurs="0"/>
                <xsd:element ref="ns2:MediaServiceEventHashCode" minOccurs="0"/>
                <xsd:element ref="ns2:MediaServiceOCR" minOccurs="0"/>
                <xsd:element ref="ns2:MediaServiceDateTaken" minOccurs="0"/>
                <xsd:element ref="ns3:SharedWithUsers" minOccurs="0"/>
                <xsd:element ref="ns3:SharedWithDetails" minOccurs="0"/>
                <xsd:element ref="ns2:MediaLengthInSeconds" minOccurs="0"/>
                <xsd:element ref="ns2:lcf76f155ced4ddcb4097134ff3c332f" minOccurs="0"/>
                <xsd:element ref="ns3:TaxCatchAll" minOccurs="0"/>
                <xsd:element ref="ns2:MediaServiceObjectDetectorVersions" minOccurs="0"/>
                <xsd:element ref="ns2:MediaServiceSearchProperties" minOccurs="0"/>
                <xsd:element ref="ns2:MediaServiceLocation" minOccurs="0"/>
                <xsd:element ref="ns2:MediaServiceBillingMetadata"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533e14c5-6fce-46d6-8eae-aae914e02e9c"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Tags" ma:index="10" nillable="true" ma:displayName="Tags" ma:internalName="MediaServiceAutoTags" ma:readOnly="true">
      <xsd:simpleType>
        <xsd:restriction base="dms:Text"/>
      </xsd:simpleType>
    </xsd:element>
    <xsd:element name="MediaServiceGenerationTime" ma:index="11" nillable="true" ma:displayName="MediaServiceGenerationTime" ma:hidden="true" ma:internalName="MediaServiceGenerationTime" ma:readOnly="true">
      <xsd:simpleType>
        <xsd:restriction base="dms:Text"/>
      </xsd:simpleType>
    </xsd:element>
    <xsd:element name="MediaServiceEventHashCode" ma:index="12" nillable="true" ma:displayName="MediaServiceEventHashCode" ma:hidden="true" ma:internalName="MediaServiceEventHashCode" ma:readOnly="true">
      <xsd:simpleType>
        <xsd:restriction base="dms:Text"/>
      </xsd:simpleType>
    </xsd:element>
    <xsd:element name="MediaServiceOCR" ma:index="13" nillable="true" ma:displayName="Extracted Text" ma:internalName="MediaServiceOCR" ma:readOnly="true">
      <xsd:simpleType>
        <xsd:restriction base="dms:Note">
          <xsd:maxLength value="255"/>
        </xsd:restriction>
      </xsd:simpleType>
    </xsd:element>
    <xsd:element name="MediaServiceDateTaken" ma:index="14" nillable="true" ma:displayName="MediaServiceDateTaken" ma:hidden="true" ma:internalName="MediaServiceDateTaken" ma:readOnly="true">
      <xsd:simpleType>
        <xsd:restriction base="dms:Text"/>
      </xsd:simpleType>
    </xsd:element>
    <xsd:element name="MediaLengthInSeconds" ma:index="17" nillable="true" ma:displayName="MediaLengthInSeconds" ma:hidden="true" ma:internalName="MediaLengthInSeconds" ma:readOnly="true">
      <xsd:simpleType>
        <xsd:restriction base="dms:Unknown"/>
      </xsd:simpleType>
    </xsd:element>
    <xsd:element name="lcf76f155ced4ddcb4097134ff3c332f" ma:index="19" nillable="true" ma:taxonomy="true" ma:internalName="lcf76f155ced4ddcb4097134ff3c332f" ma:taxonomyFieldName="MediaServiceImageTags" ma:displayName="Image Tags" ma:readOnly="false" ma:fieldId="{5cf76f15-5ced-4ddc-b409-7134ff3c332f}" ma:taxonomyMulti="true" ma:sspId="261c6ca5-1fce-431c-b3d8-ea03aa7d943c" ma:termSetId="09814cd3-568e-fe90-9814-8d621ff8fb84" ma:anchorId="fba54fb3-c3e1-fe81-a776-ca4b69148c4d" ma:open="true" ma:isKeyword="false">
      <xsd:complexType>
        <xsd:sequence>
          <xsd:element ref="pc:Terms" minOccurs="0" maxOccurs="1"/>
        </xsd:sequence>
      </xsd:complexType>
    </xsd:element>
    <xsd:element name="MediaServiceObjectDetectorVersions" ma:index="21" nillable="true" ma:displayName="MediaServiceObjectDetectorVersions" ma:hidden="true" ma:indexed="true" ma:internalName="MediaServiceObjectDetectorVersions" ma:readOnly="true">
      <xsd:simpleType>
        <xsd:restriction base="dms:Text"/>
      </xsd:simpleType>
    </xsd:element>
    <xsd:element name="MediaServiceSearchProperties" ma:index="22" nillable="true" ma:displayName="MediaServiceSearchProperties" ma:hidden="true" ma:internalName="MediaServiceSearchProperties" ma:readOnly="true">
      <xsd:simpleType>
        <xsd:restriction base="dms:Note"/>
      </xsd:simpleType>
    </xsd:element>
    <xsd:element name="MediaServiceLocation" ma:index="23" nillable="true" ma:displayName="Location" ma:indexed="true" ma:internalName="MediaServiceLocation" ma:readOnly="true">
      <xsd:simpleType>
        <xsd:restriction base="dms:Text"/>
      </xsd:simpleType>
    </xsd:element>
    <xsd:element name="MediaServiceBillingMetadata" ma:index="24" nillable="true" ma:displayName="MediaServiceBillingMetadata" ma:hidden="true" ma:internalName="MediaServiceBillingMetadata" ma:readOnly="true">
      <xsd:simpleType>
        <xsd:restriction base="dms:Note"/>
      </xsd:simpleType>
    </xsd:element>
  </xsd:schema>
  <xsd:schema xmlns:xsd="http://www.w3.org/2001/XMLSchema" xmlns:xs="http://www.w3.org/2001/XMLSchema" xmlns:dms="http://schemas.microsoft.com/office/2006/documentManagement/types" xmlns:pc="http://schemas.microsoft.com/office/infopath/2007/PartnerControls" targetNamespace="1e47758e-5cad-425f-a4ff-8e0ef73ec3a4" elementFormDefault="qualified">
    <xsd:import namespace="http://schemas.microsoft.com/office/2006/documentManagement/types"/>
    <xsd:import namespace="http://schemas.microsoft.com/office/infopath/2007/PartnerControls"/>
    <xsd:element name="SharedWithUsers" ma:index="15"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6" nillable="true" ma:displayName="Shared With Details" ma:internalName="SharedWithDetails" ma:readOnly="true">
      <xsd:simpleType>
        <xsd:restriction base="dms:Note">
          <xsd:maxLength value="255"/>
        </xsd:restriction>
      </xsd:simpleType>
    </xsd:element>
    <xsd:element name="TaxCatchAll" ma:index="20" nillable="true" ma:displayName="Taxonomy Catch All Column" ma:hidden="true" ma:list="{d4435d45-5ef4-494a-ad78-928796f3fdee}" ma:internalName="TaxCatchAll" ma:showField="CatchAllData" ma:web="1e47758e-5cad-425f-a4ff-8e0ef73ec3a4">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p:properties xmlns:p="http://schemas.microsoft.com/office/2006/metadata/properties" xmlns:xsi="http://www.w3.org/2001/XMLSchema-instance" xmlns:pc="http://schemas.microsoft.com/office/infopath/2007/PartnerControls">
  <documentManagement>
    <TaxCatchAll xmlns="1e47758e-5cad-425f-a4ff-8e0ef73ec3a4" xsi:nil="true"/>
    <lcf76f155ced4ddcb4097134ff3c332f xmlns="533e14c5-6fce-46d6-8eae-aae914e02e9c">
      <Terms xmlns="http://schemas.microsoft.com/office/infopath/2007/PartnerControls"/>
    </lcf76f155ced4ddcb4097134ff3c332f>
  </documentManagement>
</p:properties>
</file>

<file path=customXml/itemProps1.xml><?xml version="1.0" encoding="utf-8"?>
<ds:datastoreItem xmlns:ds="http://schemas.openxmlformats.org/officeDocument/2006/customXml" ds:itemID="{916DE2AE-8875-46C2-AEC6-7C5321FB4186}">
  <ds:schemaRefs>
    <ds:schemaRef ds:uri="http://schemas.microsoft.com/sharepoint/v3/contenttype/forms"/>
  </ds:schemaRefs>
</ds:datastoreItem>
</file>

<file path=customXml/itemProps2.xml><?xml version="1.0" encoding="utf-8"?>
<ds:datastoreItem xmlns:ds="http://schemas.openxmlformats.org/officeDocument/2006/customXml" ds:itemID="{780FB6C6-844B-41E5-85BC-E0F6BBF707BB}">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533e14c5-6fce-46d6-8eae-aae914e02e9c"/>
    <ds:schemaRef ds:uri="1e47758e-5cad-425f-a4ff-8e0ef73ec3a4"/>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4A9A5BD4-0EC2-444C-B7D4-007387C8558F}">
  <ds:schemaRefs>
    <ds:schemaRef ds:uri="http://schemas.microsoft.com/office/2006/documentManagement/types"/>
    <ds:schemaRef ds:uri="http://purl.org/dc/elements/1.1/"/>
    <ds:schemaRef ds:uri="http://purl.org/dc/terms/"/>
    <ds:schemaRef ds:uri="http://purl.org/dc/dcmitype/"/>
    <ds:schemaRef ds:uri="http://schemas.microsoft.com/office/2006/metadata/properties"/>
    <ds:schemaRef ds:uri="http://www.w3.org/XML/1998/namespace"/>
    <ds:schemaRef ds:uri="http://schemas.microsoft.com/office/infopath/2007/PartnerControls"/>
    <ds:schemaRef ds:uri="http://schemas.openxmlformats.org/package/2006/metadata/core-properties"/>
    <ds:schemaRef ds:uri="1e47758e-5cad-425f-a4ff-8e0ef73ec3a4"/>
    <ds:schemaRef ds:uri="533e14c5-6fce-46d6-8eae-aae914e02e9c"/>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8</vt:i4>
      </vt:variant>
    </vt:vector>
  </HeadingPairs>
  <TitlesOfParts>
    <vt:vector size="8" baseType="lpstr">
      <vt:lpstr>Drop down </vt:lpstr>
      <vt:lpstr>tb_Overview_Data</vt:lpstr>
      <vt:lpstr>TOP 3 Engagement </vt:lpstr>
      <vt:lpstr>tb_Users_Input_Data</vt:lpstr>
      <vt:lpstr>tb_Competitors_Data</vt:lpstr>
      <vt:lpstr>Detail1</vt:lpstr>
      <vt:lpstr>Pivot</vt:lpstr>
      <vt:lpstr>Dashboard </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Advice</dc:creator>
  <cp:keywords/>
  <dc:description/>
  <cp:lastModifiedBy>Pele Phasathanh</cp:lastModifiedBy>
  <cp:revision/>
  <dcterms:created xsi:type="dcterms:W3CDTF">2024-02-26T10:19:05Z</dcterms:created>
  <dcterms:modified xsi:type="dcterms:W3CDTF">2026-04-19T11:05:50Z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0x010100FFDF1BD5C75DF7418C54E39B053979D2</vt:lpwstr>
  </property>
  <property fmtid="{D5CDD505-2E9C-101B-9397-08002B2CF9AE}" pid="3" name="MediaServiceImageTags">
    <vt:lpwstr/>
  </property>
</Properties>
</file>